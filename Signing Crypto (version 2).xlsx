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2.xml" ContentType="application/vnd.openxmlformats-officedocument.drawing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tony\OneDrive\Desktop\"/>
    </mc:Choice>
  </mc:AlternateContent>
  <xr:revisionPtr revIDLastSave="0" documentId="13_ncr:10000001_{8AC5046E-077A-415F-AC58-3BF2F0D1F3B6}" xr6:coauthVersionLast="47" xr6:coauthVersionMax="47" xr10:uidLastSave="{00000000-0000-0000-0000-000000000000}"/>
  <bookViews>
    <workbookView xWindow="-120" yWindow="-120" windowWidth="38640" windowHeight="21840" firstSheet="2" activeTab="3" xr2:uid="{32EC9B60-60EA-4775-89E0-67700F6836C3}"/>
  </bookViews>
  <sheets>
    <sheet name="Size Metrics" sheetId="25" r:id="rId1"/>
    <sheet name="Sheet8" sheetId="24" r:id="rId2"/>
    <sheet name="DATA SCHEME" sheetId="14" r:id="rId3"/>
    <sheet name="DATA Commit" sheetId="16" r:id="rId4"/>
    <sheet name="Data" sheetId="10" r:id="rId5"/>
    <sheet name="Signing Scheme" sheetId="5" r:id="rId6"/>
    <sheet name="Signing Commit" sheetId="7" r:id="rId7"/>
    <sheet name="Verifying Scheme" sheetId="11" r:id="rId8"/>
    <sheet name="Crypto Only Throughput Scheme" sheetId="13" r:id="rId9"/>
    <sheet name="Total System Throughput (S+C)" sheetId="15" r:id="rId10"/>
    <sheet name="CPU Usage (S+C)" sheetId="18" r:id="rId11"/>
    <sheet name="Block Commitment time (S+C)" sheetId="17" r:id="rId12"/>
    <sheet name="Memory Usage (S+C)" sheetId="19" r:id="rId13"/>
    <sheet name="Signature Size (MEdian for Falc" sheetId="21" r:id="rId14"/>
    <sheet name="Public Key Size" sheetId="22" r:id="rId15"/>
    <sheet name="Transcati Size (MEdian for  (2)" sheetId="23" r:id="rId16"/>
    <sheet name="Ledger Size (MEdian for  (3)" sheetId="26" r:id="rId17"/>
  </sheets>
  <definedNames>
    <definedName name="_xlchart.v1.0" hidden="1">'Crypto Only Throughput Scheme'!$C$2:$C$6</definedName>
    <definedName name="_xlchart.v1.1" hidden="1">'Crypto Only Throughput Scheme'!$C$7:$C$11</definedName>
    <definedName name="_xlchart.v1.10" hidden="1">'Crypto Only Throughput Scheme'!$C$2:$C$6</definedName>
    <definedName name="_xlchart.v1.11" hidden="1">'Crypto Only Throughput Scheme'!$C$7:$C$11</definedName>
    <definedName name="_xlchart.v1.12" hidden="1">'Total System Throughput (S+C)'!$A$2:$A$6</definedName>
    <definedName name="_xlchart.v1.13" hidden="1">'Total System Throughput (S+C)'!$A$31</definedName>
    <definedName name="_xlchart.v1.14" hidden="1">'Total System Throughput (S+C)'!$A$32</definedName>
    <definedName name="_xlchart.v1.15" hidden="1">'Crypto Only Throughput Scheme'!$C$2:$C$6</definedName>
    <definedName name="_xlchart.v1.16" hidden="1">'Crypto Only Throughput Scheme'!$C$7:$C$11</definedName>
    <definedName name="_xlchart.v1.17" hidden="1">'Total System Throughput (S+C)'!$A$2:$A$6</definedName>
    <definedName name="_xlchart.v1.18" hidden="1">'Total System Throughput (S+C)'!$A$31</definedName>
    <definedName name="_xlchart.v1.19" hidden="1">'Total System Throughput (S+C)'!$A$32</definedName>
    <definedName name="_xlchart.v1.2" hidden="1">'Total System Throughput (S+C)'!$A$2:$A$6</definedName>
    <definedName name="_xlchart.v1.20" hidden="1">'Crypto Only Throughput Scheme'!$C$2:$C$6</definedName>
    <definedName name="_xlchart.v1.21" hidden="1">'Crypto Only Throughput Scheme'!$C$7:$C$11</definedName>
    <definedName name="_xlchart.v1.22" hidden="1">'Total System Throughput (S+C)'!$A$2:$A$6</definedName>
    <definedName name="_xlchart.v1.23" hidden="1">'Total System Throughput (S+C)'!$A$31</definedName>
    <definedName name="_xlchart.v1.24" hidden="1">'Total System Throughput (S+C)'!$A$32</definedName>
    <definedName name="_xlchart.v1.3" hidden="1">'Total System Throughput (S+C)'!$A$31</definedName>
    <definedName name="_xlchart.v1.4" hidden="1">'Total System Throughput (S+C)'!$A$32</definedName>
    <definedName name="_xlchart.v1.5" hidden="1">'Crypto Only Throughput Scheme'!$C$2:$C$6</definedName>
    <definedName name="_xlchart.v1.6" hidden="1">'Crypto Only Throughput Scheme'!$C$7:$C$11</definedName>
    <definedName name="_xlchart.v1.7" hidden="1">'Total System Throughput (S+C)'!$A$2:$A$6</definedName>
    <definedName name="_xlchart.v1.8" hidden="1">'Total System Throughput (S+C)'!$A$31</definedName>
    <definedName name="_xlchart.v1.9" hidden="1">'Total System Throughput (S+C)'!$A$32</definedName>
    <definedName name="ExternalData_1" localSheetId="11" hidden="1">'Block Commitment time (S+C)'!$A$23:$J$28</definedName>
    <definedName name="ExternalData_1" localSheetId="8" hidden="1">'Crypto Only Throughput Scheme'!$A$18:$J$23</definedName>
    <definedName name="ExternalData_1" localSheetId="3" hidden="1">'DATA Commit'!$A$1:$J$51</definedName>
    <definedName name="ExternalData_1" localSheetId="2" hidden="1">'DATA SCHEME'!$A$1:$J$51</definedName>
    <definedName name="ExternalData_1" localSheetId="0" hidden="1">'Size Metrics'!$A$1:$J$26</definedName>
    <definedName name="ExternalData_1" localSheetId="9" hidden="1">'Total System Throughput (S+C)'!$A$23:$J$28</definedName>
    <definedName name="ExternalData_1" localSheetId="7" hidden="1">'Verifying Scheme'!$A$18:$J$23</definedName>
    <definedName name="ExternalData_3" localSheetId="11" hidden="1">'Block Commitment time (S+C)'!$A$1:$K$11</definedName>
    <definedName name="ExternalData_3" localSheetId="10" hidden="1">'CPU Usage (S+C)'!$A$1:$K$11</definedName>
    <definedName name="ExternalData_3" localSheetId="8" hidden="1">'Crypto Only Throughput Scheme'!$A$1:$K$6</definedName>
    <definedName name="ExternalData_3" localSheetId="16" hidden="1">'Ledger Size (MEdian for  (3)'!$A$1:$K$6</definedName>
    <definedName name="ExternalData_3" localSheetId="12" hidden="1">'Memory Usage (S+C)'!$A$1:$K$11</definedName>
    <definedName name="ExternalData_3" localSheetId="14" hidden="1">'Public Key Size'!$A$1:$K$6</definedName>
    <definedName name="ExternalData_3" localSheetId="13" hidden="1">'Signature Size (MEdian for Falc'!$A$1:$K$6</definedName>
    <definedName name="ExternalData_3" localSheetId="6" hidden="1">'Signing Commit'!$A$1:$K$6</definedName>
    <definedName name="ExternalData_3" localSheetId="5" hidden="1">'Signing Scheme'!$A$1:$K$6</definedName>
    <definedName name="ExternalData_3" localSheetId="9" hidden="1">'Total System Throughput (S+C)'!$A$1:$K$11</definedName>
    <definedName name="ExternalData_3" localSheetId="15" hidden="1">'Transcati Size (MEdian for  (2)'!$A$1:$K$6</definedName>
    <definedName name="ExternalData_3" localSheetId="7" hidden="1">'Verifying Scheme'!$A$1:$K$6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6" l="1"/>
  <c r="H2" i="26"/>
  <c r="H3" i="26"/>
  <c r="H4" i="26"/>
  <c r="H5" i="26"/>
  <c r="H6" i="26"/>
  <c r="F2" i="26"/>
  <c r="I2" i="26" s="1"/>
  <c r="F3" i="26"/>
  <c r="I3" i="26" s="1"/>
  <c r="F4" i="26"/>
  <c r="F5" i="26"/>
  <c r="F6" i="26"/>
  <c r="D5" i="26"/>
  <c r="D6" i="26"/>
  <c r="D4" i="26"/>
  <c r="I4" i="26" s="1"/>
  <c r="D3" i="26"/>
  <c r="D2" i="26"/>
  <c r="I6" i="26"/>
  <c r="H6" i="23"/>
  <c r="F6" i="23"/>
  <c r="D6" i="23"/>
  <c r="H5" i="23"/>
  <c r="F5" i="23"/>
  <c r="H4" i="23"/>
  <c r="F4" i="23"/>
  <c r="D4" i="23"/>
  <c r="I4" i="23" s="1"/>
  <c r="H3" i="23"/>
  <c r="F3" i="23"/>
  <c r="D3" i="23"/>
  <c r="I3" i="23" s="1"/>
  <c r="H2" i="23"/>
  <c r="F2" i="23"/>
  <c r="D2" i="23"/>
  <c r="I2" i="23" s="1"/>
  <c r="H6" i="22"/>
  <c r="F6" i="22"/>
  <c r="D6" i="22"/>
  <c r="I6" i="22" s="1"/>
  <c r="H5" i="22"/>
  <c r="F5" i="22"/>
  <c r="H4" i="22"/>
  <c r="F4" i="22"/>
  <c r="D4" i="22"/>
  <c r="I4" i="22" s="1"/>
  <c r="H3" i="22"/>
  <c r="F3" i="22"/>
  <c r="D3" i="22"/>
  <c r="I3" i="22" s="1"/>
  <c r="H2" i="22"/>
  <c r="F2" i="22"/>
  <c r="D2" i="22"/>
  <c r="I2" i="22" s="1"/>
  <c r="J6" i="21"/>
  <c r="D6" i="21"/>
  <c r="F3" i="21"/>
  <c r="H2" i="21"/>
  <c r="H3" i="21"/>
  <c r="H4" i="21"/>
  <c r="H5" i="21"/>
  <c r="H6" i="21"/>
  <c r="F2" i="21"/>
  <c r="F4" i="21"/>
  <c r="F5" i="21"/>
  <c r="F6" i="21"/>
  <c r="D2" i="21"/>
  <c r="D3" i="21"/>
  <c r="I3" i="21" s="1"/>
  <c r="D4" i="21"/>
  <c r="I4" i="21" s="1"/>
  <c r="I2" i="21"/>
  <c r="H2" i="19"/>
  <c r="H3" i="19"/>
  <c r="H4" i="19"/>
  <c r="H5" i="19"/>
  <c r="H6" i="19"/>
  <c r="H7" i="19"/>
  <c r="H8" i="19"/>
  <c r="H9" i="19"/>
  <c r="H10" i="19"/>
  <c r="H11" i="19"/>
  <c r="F2" i="19"/>
  <c r="F3" i="19"/>
  <c r="F4" i="19"/>
  <c r="F5" i="19"/>
  <c r="F6" i="19"/>
  <c r="F7" i="19"/>
  <c r="F8" i="19"/>
  <c r="F9" i="19"/>
  <c r="F10" i="19"/>
  <c r="I10" i="19" s="1"/>
  <c r="F11" i="19"/>
  <c r="I11" i="19" s="1"/>
  <c r="D3" i="19"/>
  <c r="D2" i="19"/>
  <c r="I3" i="19"/>
  <c r="D4" i="19"/>
  <c r="D5" i="19"/>
  <c r="D6" i="19"/>
  <c r="D7" i="19"/>
  <c r="D8" i="19"/>
  <c r="D9" i="19"/>
  <c r="D10" i="19"/>
  <c r="D11" i="19"/>
  <c r="I9" i="19"/>
  <c r="I6" i="19"/>
  <c r="I5" i="19"/>
  <c r="J4" i="19"/>
  <c r="I4" i="19"/>
  <c r="I2" i="19"/>
  <c r="H2" i="18"/>
  <c r="H3" i="18"/>
  <c r="H4" i="18"/>
  <c r="H5" i="18"/>
  <c r="H6" i="18"/>
  <c r="H7" i="18"/>
  <c r="H8" i="18"/>
  <c r="H9" i="18"/>
  <c r="H10" i="18"/>
  <c r="H11" i="18"/>
  <c r="F2" i="18"/>
  <c r="F3" i="18"/>
  <c r="F4" i="18"/>
  <c r="F5" i="18"/>
  <c r="F6" i="18"/>
  <c r="F7" i="18"/>
  <c r="F8" i="18"/>
  <c r="F9" i="18"/>
  <c r="F10" i="18"/>
  <c r="F11" i="18"/>
  <c r="D2" i="18"/>
  <c r="D3" i="18"/>
  <c r="D4" i="18"/>
  <c r="D5" i="18"/>
  <c r="D6" i="18"/>
  <c r="D7" i="18"/>
  <c r="I7" i="18" s="1"/>
  <c r="D8" i="18"/>
  <c r="I8" i="18" s="1"/>
  <c r="D9" i="18"/>
  <c r="I9" i="18" s="1"/>
  <c r="D10" i="18"/>
  <c r="I10" i="18" s="1"/>
  <c r="D11" i="18"/>
  <c r="I11" i="18" s="1"/>
  <c r="H2" i="17"/>
  <c r="H3" i="17"/>
  <c r="H4" i="17"/>
  <c r="H5" i="17"/>
  <c r="H6" i="17"/>
  <c r="H7" i="17"/>
  <c r="H8" i="17"/>
  <c r="H9" i="17"/>
  <c r="H10" i="17"/>
  <c r="H11" i="17"/>
  <c r="D2" i="17"/>
  <c r="D3" i="17"/>
  <c r="D4" i="17"/>
  <c r="D5" i="17"/>
  <c r="D6" i="17"/>
  <c r="D7" i="17"/>
  <c r="D8" i="17"/>
  <c r="D9" i="17"/>
  <c r="I9" i="17" s="1"/>
  <c r="D10" i="17"/>
  <c r="I10" i="17" s="1"/>
  <c r="D11" i="17"/>
  <c r="F2" i="17"/>
  <c r="F3" i="17"/>
  <c r="F4" i="17"/>
  <c r="F5" i="17"/>
  <c r="F6" i="17"/>
  <c r="F7" i="17"/>
  <c r="F8" i="17"/>
  <c r="F9" i="17"/>
  <c r="F10" i="17"/>
  <c r="F11" i="17"/>
  <c r="I11" i="17"/>
  <c r="I8" i="17"/>
  <c r="I7" i="17"/>
  <c r="I2" i="17"/>
  <c r="D11" i="15"/>
  <c r="F11" i="15"/>
  <c r="H11" i="15"/>
  <c r="I11" i="15"/>
  <c r="J11" i="15"/>
  <c r="D10" i="15"/>
  <c r="F10" i="15"/>
  <c r="H10" i="15"/>
  <c r="I10" i="15"/>
  <c r="D9" i="15"/>
  <c r="F9" i="15"/>
  <c r="H9" i="15"/>
  <c r="J9" i="15" s="1"/>
  <c r="I9" i="15"/>
  <c r="D8" i="15"/>
  <c r="F8" i="15"/>
  <c r="H8" i="15"/>
  <c r="J8" i="15" s="1"/>
  <c r="I8" i="15"/>
  <c r="D7" i="15"/>
  <c r="F7" i="15"/>
  <c r="H7" i="15"/>
  <c r="J7" i="15" s="1"/>
  <c r="J6" i="13"/>
  <c r="I6" i="13"/>
  <c r="H6" i="13"/>
  <c r="F6" i="13"/>
  <c r="D6" i="13"/>
  <c r="J5" i="13"/>
  <c r="I5" i="13"/>
  <c r="H5" i="13"/>
  <c r="F5" i="13"/>
  <c r="D5" i="13"/>
  <c r="J4" i="13"/>
  <c r="I4" i="13"/>
  <c r="H4" i="13"/>
  <c r="F4" i="13"/>
  <c r="D4" i="13"/>
  <c r="J3" i="13"/>
  <c r="I3" i="13"/>
  <c r="H3" i="13"/>
  <c r="F3" i="13"/>
  <c r="D3" i="13"/>
  <c r="J2" i="13"/>
  <c r="I2" i="13"/>
  <c r="H2" i="13"/>
  <c r="F2" i="13"/>
  <c r="D2" i="13"/>
  <c r="J6" i="11"/>
  <c r="I6" i="11"/>
  <c r="H6" i="11"/>
  <c r="F6" i="11"/>
  <c r="D6" i="11"/>
  <c r="J5" i="11"/>
  <c r="I5" i="11"/>
  <c r="H5" i="11"/>
  <c r="F5" i="11"/>
  <c r="D5" i="11"/>
  <c r="J4" i="11"/>
  <c r="I4" i="11"/>
  <c r="H4" i="11"/>
  <c r="F4" i="11"/>
  <c r="D4" i="11"/>
  <c r="J3" i="11"/>
  <c r="I3" i="11"/>
  <c r="H3" i="11"/>
  <c r="F3" i="11"/>
  <c r="D3" i="11"/>
  <c r="J2" i="11"/>
  <c r="I2" i="11"/>
  <c r="H2" i="11"/>
  <c r="F2" i="11"/>
  <c r="D2" i="11"/>
  <c r="J6" i="7"/>
  <c r="I6" i="7"/>
  <c r="H6" i="7"/>
  <c r="F6" i="7"/>
  <c r="D6" i="7"/>
  <c r="J5" i="7"/>
  <c r="I5" i="7"/>
  <c r="H5" i="7"/>
  <c r="F5" i="7"/>
  <c r="D5" i="7"/>
  <c r="J4" i="7"/>
  <c r="I4" i="7"/>
  <c r="H4" i="7"/>
  <c r="F4" i="7"/>
  <c r="D4" i="7"/>
  <c r="J3" i="7"/>
  <c r="I3" i="7"/>
  <c r="H3" i="7"/>
  <c r="F3" i="7"/>
  <c r="D3" i="7"/>
  <c r="J2" i="7"/>
  <c r="I2" i="7"/>
  <c r="H2" i="7"/>
  <c r="F2" i="7"/>
  <c r="D2" i="7"/>
  <c r="K6" i="5"/>
  <c r="J6" i="5"/>
  <c r="I6" i="5"/>
  <c r="H6" i="5"/>
  <c r="F6" i="5"/>
  <c r="D6" i="5"/>
  <c r="K5" i="5"/>
  <c r="J5" i="5"/>
  <c r="I5" i="5"/>
  <c r="H5" i="5"/>
  <c r="F5" i="5"/>
  <c r="D5" i="5"/>
  <c r="K4" i="5"/>
  <c r="J4" i="5"/>
  <c r="I4" i="5"/>
  <c r="H4" i="5"/>
  <c r="F4" i="5"/>
  <c r="D4" i="5"/>
  <c r="K3" i="5"/>
  <c r="J3" i="5"/>
  <c r="I3" i="5"/>
  <c r="H3" i="5"/>
  <c r="F3" i="5"/>
  <c r="D3" i="5"/>
  <c r="K2" i="5"/>
  <c r="J2" i="5"/>
  <c r="I2" i="5"/>
  <c r="H2" i="5"/>
  <c r="F2" i="5"/>
  <c r="D2" i="5"/>
  <c r="H6" i="15"/>
  <c r="F6" i="15"/>
  <c r="D6" i="15"/>
  <c r="H5" i="15"/>
  <c r="F5" i="15"/>
  <c r="D5" i="15"/>
  <c r="H4" i="15"/>
  <c r="F4" i="15"/>
  <c r="D4" i="15"/>
  <c r="J4" i="15" s="1"/>
  <c r="H3" i="15"/>
  <c r="F3" i="15"/>
  <c r="D3" i="15"/>
  <c r="H2" i="15"/>
  <c r="F2" i="15"/>
  <c r="D2" i="15"/>
  <c r="J2" i="26" l="1"/>
  <c r="J3" i="26"/>
  <c r="J6" i="26"/>
  <c r="J4" i="26"/>
  <c r="J6" i="23"/>
  <c r="I6" i="23"/>
  <c r="J2" i="23"/>
  <c r="J3" i="23"/>
  <c r="J4" i="23"/>
  <c r="J6" i="22"/>
  <c r="J3" i="22"/>
  <c r="J2" i="22"/>
  <c r="J4" i="22"/>
  <c r="I6" i="21"/>
  <c r="J3" i="21"/>
  <c r="J4" i="21"/>
  <c r="J2" i="21"/>
  <c r="I8" i="19"/>
  <c r="I7" i="19"/>
  <c r="J7" i="19"/>
  <c r="J8" i="19"/>
  <c r="J9" i="19"/>
  <c r="J10" i="19"/>
  <c r="J11" i="19"/>
  <c r="J5" i="19"/>
  <c r="J6" i="19"/>
  <c r="J2" i="19"/>
  <c r="J3" i="19"/>
  <c r="I3" i="18"/>
  <c r="I2" i="18"/>
  <c r="I4" i="18"/>
  <c r="J5" i="18"/>
  <c r="I6" i="18"/>
  <c r="J10" i="18"/>
  <c r="J8" i="18"/>
  <c r="J2" i="18"/>
  <c r="J9" i="18"/>
  <c r="J3" i="18"/>
  <c r="J6" i="18"/>
  <c r="J4" i="18"/>
  <c r="J7" i="18"/>
  <c r="I5" i="18"/>
  <c r="J11" i="18"/>
  <c r="I6" i="17"/>
  <c r="I4" i="17"/>
  <c r="I3" i="17"/>
  <c r="J9" i="17"/>
  <c r="J5" i="17"/>
  <c r="J7" i="17"/>
  <c r="J8" i="17"/>
  <c r="J2" i="17"/>
  <c r="J3" i="17"/>
  <c r="J4" i="17"/>
  <c r="J6" i="17"/>
  <c r="J10" i="17"/>
  <c r="I5" i="17"/>
  <c r="J11" i="17"/>
  <c r="I7" i="15"/>
  <c r="J10" i="15"/>
  <c r="J2" i="15"/>
  <c r="J5" i="15"/>
  <c r="J6" i="15"/>
  <c r="J3" i="15"/>
  <c r="I3" i="15"/>
  <c r="I4" i="15"/>
  <c r="I5" i="15"/>
  <c r="I2" i="15"/>
  <c r="I6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7117BF-182D-450F-AD26-DAD23E25B72C}" keepAlive="1" name="Query - Com" description="Connection to the 'Com' query in the workbook." type="5" refreshedVersion="8" background="1" saveData="1">
    <dbPr connection="Provider=Microsoft.Mashup.OleDb.1;Data Source=$Workbook$;Location=Com;Extended Properties=&quot;&quot;" command="SELECT * FROM [Com]"/>
  </connection>
  <connection id="2" xr16:uid="{0C5D1DA6-F85D-4FD1-AFC6-5FC88070343F}" keepAlive="1" name="Query - Commit" description="Connection to the 'Commit' query in the workbook." type="5" refreshedVersion="8" background="1" saveData="1">
    <dbPr connection="Provider=Microsoft.Mashup.OleDb.1;Data Source=$Workbook$;Location=Commit;Extended Properties=&quot;&quot;" command="SELECT * FROM [Commit]"/>
  </connection>
  <connection id="3" xr16:uid="{963FDB0A-1983-40F0-8AFD-7677DF85A22A}" keepAlive="1" name="Query - dilithium_scheme_summary" description="Connection to the 'dilithium_scheme_summary' query in the workbook." type="5" refreshedVersion="0" background="1">
    <dbPr connection="Provider=Microsoft.Mashup.OleDb.1;Data Source=$Workbook$;Location=dilithium_scheme_summary;Extended Properties=&quot;&quot;" command="SELECT * FROM [dilithium_scheme_summary]"/>
  </connection>
  <connection id="4" xr16:uid="{BDDF90C6-9A8D-4CC5-8904-C8B7EAD7A335}" keepAlive="1" name="Query - ecdsa_scheme_summary (2)" description="Connection to the 'ecdsa_scheme_summary (2)' query in the workbook." type="5" refreshedVersion="0" background="1">
    <dbPr connection="Provider=Microsoft.Mashup.OleDb.1;Data Source=$Workbook$;Location=&quot;ecdsa_scheme_summary (2)&quot;;Extended Properties=&quot;&quot;" command="SELECT * FROM [ecdsa_scheme_summary (2)]"/>
  </connection>
  <connection id="5" xr16:uid="{4AD49CF5-A9B1-4FB3-8D8E-48BD0FA4407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6" xr16:uid="{C3A05DB1-79E5-4139-868F-4F1AE4CB1DEE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7" xr16:uid="{DB7A6D82-0113-48A4-BF0F-9A19280B2EE8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8" xr16:uid="{67A50B9F-2288-432B-B76A-8F224D5E21FD}" keepAlive="1" name="Query - Parameter4" description="Connection to the 'Parameter4' query in the workbook." type="5" refreshedVersion="0" background="1">
    <dbPr connection="Provider=Microsoft.Mashup.OleDb.1;Data Source=$Workbook$;Location=Parameter4;Extended Properties=&quot;&quot;" command="SELECT * FROM [Parameter4]"/>
  </connection>
  <connection id="9" xr16:uid="{037ED3EE-1AA1-4F04-A0F2-8D64E13BC4E5}" keepAlive="1" name="Query - Parameter5" description="Connection to the 'Parameter5' query in the workbook." type="5" refreshedVersion="0" background="1">
    <dbPr connection="Provider=Microsoft.Mashup.OleDb.1;Data Source=$Workbook$;Location=Parameter5;Extended Properties=&quot;&quot;" command="SELECT * FROM [Parameter5]"/>
  </connection>
  <connection id="10" xr16:uid="{4D1F2E30-CF51-4936-A4B1-A244B3D6EA7F}" keepAlive="1" name="Query - Parameter6" description="Connection to the 'Parameter6' query in the workbook." type="5" refreshedVersion="0" background="1">
    <dbPr connection="Provider=Microsoft.Mashup.OleDb.1;Data Source=$Workbook$;Location=Parameter6;Extended Properties=&quot;&quot;" command="SELECT * FROM [Parameter6]"/>
  </connection>
  <connection id="11" xr16:uid="{FD14F26C-2C60-49B7-BB88-4C81B807C385}" keepAlive="1" name="Query - Parameter7" description="Connection to the 'Parameter7' query in the workbook." type="5" refreshedVersion="0" background="1">
    <dbPr connection="Provider=Microsoft.Mashup.OleDb.1;Data Source=$Workbook$;Location=Parameter7;Extended Properties=&quot;&quot;" command="SELECT * FROM [Parameter7]"/>
  </connection>
  <connection id="12" xr16:uid="{41DBBE0E-F157-4A20-8B78-CDB0B75DD9EB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3" xr16:uid="{05DC617D-64DD-4C0E-A6EA-33C531473FE2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4" xr16:uid="{B77484EE-179F-40CF-9160-82666BBE7509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5" xr16:uid="{6BF92E7E-7153-4F8F-A02D-52C13BABCE14}" keepAlive="1" name="Query - Sample File (4)" description="Connection to the 'Sample File (4)' query in the workbook." type="5" refreshedVersion="0" background="1">
    <dbPr connection="Provider=Microsoft.Mashup.OleDb.1;Data Source=$Workbook$;Location=&quot;Sample File (4)&quot;;Extended Properties=&quot;&quot;" command="SELECT * FROM [Sample File (4)]"/>
  </connection>
  <connection id="16" xr16:uid="{AFAF96A1-D128-41C2-9843-54E0E1DD41DE}" keepAlive="1" name="Query - Sample File (5)" description="Connection to the 'Sample File (5)' query in the workbook." type="5" refreshedVersion="0" background="1">
    <dbPr connection="Provider=Microsoft.Mashup.OleDb.1;Data Source=$Workbook$;Location=&quot;Sample File (5)&quot;;Extended Properties=&quot;&quot;" command="SELECT * FROM [Sample File (5)]"/>
  </connection>
  <connection id="17" xr16:uid="{37AD8657-81D5-4DDC-A203-B81D92003121}" keepAlive="1" name="Query - Sample File (6)" description="Connection to the 'Sample File (6)' query in the workbook." type="5" refreshedVersion="0" background="1">
    <dbPr connection="Provider=Microsoft.Mashup.OleDb.1;Data Source=$Workbook$;Location=&quot;Sample File (6)&quot;;Extended Properties=&quot;&quot;" command="SELECT * FROM [Sample File (6)]"/>
  </connection>
  <connection id="18" xr16:uid="{349CE328-F388-4258-908A-C82155D8D1FD}" keepAlive="1" name="Query - Sample File (7)" description="Connection to the 'Sample File (7)' query in the workbook." type="5" refreshedVersion="0" background="1">
    <dbPr connection="Provider=Microsoft.Mashup.OleDb.1;Data Source=$Workbook$;Location=&quot;Sample File (7)&quot;;Extended Properties=&quot;&quot;" command="SELECT * FROM [Sample File (7)]"/>
  </connection>
  <connection id="19" xr16:uid="{C5CC3776-021A-4FCD-BD69-16064064753B}" keepAlive="1" name="Query - Signing Commit" description="Connection to the 'Signing Commit' query in the workbook." type="5" refreshedVersion="0" background="1">
    <dbPr connection="Provider=Microsoft.Mashup.OleDb.1;Data Source=$Workbook$;Location=&quot;Signing Commit&quot;;Extended Properties=&quot;&quot;" command="SELECT * FROM [Signing Commit]"/>
  </connection>
  <connection id="20" xr16:uid="{477661D7-4F8F-4214-BD53-92834DE8687D}" keepAlive="1" name="Query - Signing Commit (2)" description="Connection to the 'Signing Commit (2)' query in the workbook." type="5" refreshedVersion="0" background="1">
    <dbPr connection="Provider=Microsoft.Mashup.OleDb.1;Data Source=$Workbook$;Location=&quot;Signing Commit (2)&quot;;Extended Properties=&quot;&quot;" command="SELECT * FROM [Signing Commit (2)]"/>
  </connection>
  <connection id="21" xr16:uid="{B49072D9-02F7-452C-8AE5-20A314CED0E3}" keepAlive="1" name="Query - Signing Commit (3)" description="Connection to the 'Signing Commit (3)' query in the workbook." type="5" refreshedVersion="0" background="1">
    <dbPr connection="Provider=Microsoft.Mashup.OleDb.1;Data Source=$Workbook$;Location=&quot;Signing Commit (3)&quot;;Extended Properties=&quot;&quot;" command="SELECT * FROM [Signing Commit (3)]"/>
  </connection>
  <connection id="22" xr16:uid="{00741D48-A5B8-443B-879E-E2D9C8EADF19}" keepAlive="1" name="Query - Signing Scheme" description="Connection to the 'Signing Scheme' query in the workbook." type="5" refreshedVersion="8" background="1" saveData="1">
    <dbPr connection="Provider=Microsoft.Mashup.OleDb.1;Data Source=$Workbook$;Location=&quot;Signing Scheme&quot;;Extended Properties=&quot;&quot;" command="SELECT * FROM [Signing Scheme]"/>
  </connection>
  <connection id="23" xr16:uid="{7A6323C8-CC52-459E-906F-F0DEF9ACE9F3}" keepAlive="1" name="Query - Signing Scheme (10)" description="Connection to the 'Signing Scheme (10)' query in the workbook." type="5" refreshedVersion="8" background="1" saveData="1">
    <dbPr connection="Provider=Microsoft.Mashup.OleDb.1;Data Source=$Workbook$;Location=&quot;Signing Scheme (10)&quot;;Extended Properties=&quot;&quot;" command="SELECT * FROM [Signing Scheme (10)]"/>
  </connection>
  <connection id="24" xr16:uid="{8238CC9E-21C2-4752-A8A5-9E403712B202}" keepAlive="1" name="Query - Signing Scheme (11)" description="Connection to the 'Signing Scheme (11)' query in the workbook." type="5" refreshedVersion="8" background="1" saveData="1">
    <dbPr connection="Provider=Microsoft.Mashup.OleDb.1;Data Source=$Workbook$;Location=&quot;Signing Scheme (11)&quot;;Extended Properties=&quot;&quot;" command="SELECT * FROM [Signing Scheme (11)]"/>
  </connection>
  <connection id="25" xr16:uid="{6928FB2A-2AFB-4308-AC68-9D7A423F133A}" keepAlive="1" name="Query - Signing Scheme (12)" description="Connection to the 'Signing Scheme (12)' query in the workbook." type="5" refreshedVersion="8" background="1" saveData="1">
    <dbPr connection="Provider=Microsoft.Mashup.OleDb.1;Data Source=$Workbook$;Location=&quot;Signing Scheme (12)&quot;;Extended Properties=&quot;&quot;" command="SELECT * FROM [Signing Scheme (12)]"/>
  </connection>
  <connection id="26" xr16:uid="{6F0A3744-0A1F-4830-984B-B70373695DDC}" keepAlive="1" name="Query - Signing Scheme (13)" description="Connection to the 'Signing Scheme (13)' query in the workbook." type="5" refreshedVersion="8" background="1" saveData="1">
    <dbPr connection="Provider=Microsoft.Mashup.OleDb.1;Data Source=$Workbook$;Location=&quot;Signing Scheme (13)&quot;;Extended Properties=&quot;&quot;" command="SELECT * FROM [Signing Scheme (13)]"/>
  </connection>
  <connection id="27" xr16:uid="{30AD0723-EE36-48DE-B2E5-E5B63122E60D}" keepAlive="1" name="Query - Signing Scheme (14)" description="Connection to the 'Signing Scheme (14)' query in the workbook." type="5" refreshedVersion="8" background="1" saveData="1">
    <dbPr connection="Provider=Microsoft.Mashup.OleDb.1;Data Source=$Workbook$;Location=&quot;Signing Scheme (14)&quot;;Extended Properties=&quot;&quot;" command="SELECT * FROM [Signing Scheme (14)]"/>
  </connection>
  <connection id="28" xr16:uid="{D1D4738A-1309-47B5-8EF6-B51F2FC3F49E}" keepAlive="1" name="Query - Signing Scheme (15)" description="Connection to the 'Signing Scheme (15)' query in the workbook." type="5" refreshedVersion="8" background="1" saveData="1">
    <dbPr connection="Provider=Microsoft.Mashup.OleDb.1;Data Source=$Workbook$;Location=&quot;Signing Scheme (15)&quot;;Extended Properties=&quot;&quot;" command="SELECT * FROM [Signing Scheme (15)]"/>
  </connection>
  <connection id="29" xr16:uid="{83687EDC-F794-4061-AEE1-F66F6D2A261E}" keepAlive="1" name="Query - Signing Scheme (16)" description="Connection to the 'Signing Scheme (16)' query in the workbook." type="5" refreshedVersion="8" background="1" saveData="1">
    <dbPr connection="Provider=Microsoft.Mashup.OleDb.1;Data Source=$Workbook$;Location=&quot;Signing Scheme (16)&quot;;Extended Properties=&quot;&quot;" command="SELECT * FROM [Signing Scheme (16)]"/>
  </connection>
  <connection id="30" xr16:uid="{7D2E741D-898B-4C0D-9AD6-66A22B7D18AD}" keepAlive="1" name="Query - Signing Scheme (17)" description="Connection to the 'Signing Scheme (17)' query in the workbook." type="5" refreshedVersion="8" background="1" saveData="1">
    <dbPr connection="Provider=Microsoft.Mashup.OleDb.1;Data Source=$Workbook$;Location=&quot;Signing Scheme (17)&quot;;Extended Properties=&quot;&quot;" command="SELECT * FROM [Signing Scheme (17)]"/>
  </connection>
  <connection id="31" xr16:uid="{BEA8351A-46D9-4D24-AEAF-4C2492FA3092}" keepAlive="1" name="Query - Signing Scheme (18)" description="Connection to the 'Signing Scheme (18)' query in the workbook." type="5" refreshedVersion="8" background="1" saveData="1">
    <dbPr connection="Provider=Microsoft.Mashup.OleDb.1;Data Source=$Workbook$;Location=&quot;Signing Scheme (18)&quot;;Extended Properties=&quot;&quot;" command="SELECT * FROM [Signing Scheme (18)]"/>
  </connection>
  <connection id="32" xr16:uid="{9623E9CA-D702-4E82-B0C1-1F476930A09C}" keepAlive="1" name="Query - Signing Scheme (19)" description="Connection to the 'Signing Scheme (19)' query in the workbook." type="5" refreshedVersion="8" background="1" saveData="1">
    <dbPr connection="Provider=Microsoft.Mashup.OleDb.1;Data Source=$Workbook$;Location=&quot;Signing Scheme (19)&quot;;Extended Properties=&quot;&quot;" command="SELECT * FROM [Signing Scheme (19)]"/>
  </connection>
  <connection id="33" xr16:uid="{A19D0E7D-11F4-429A-99C5-B7BB19AA6282}" keepAlive="1" name="Query - Signing Scheme (2)" description="Connection to the 'Signing Scheme (2)' query in the workbook." type="5" refreshedVersion="8" background="1" saveData="1">
    <dbPr connection="Provider=Microsoft.Mashup.OleDb.1;Data Source=$Workbook$;Location=&quot;Signing Scheme (2)&quot;;Extended Properties=&quot;&quot;" command="SELECT * FROM [Signing Scheme (2)]"/>
  </connection>
  <connection id="34" xr16:uid="{9FF6CFB2-ABD8-4406-9AF0-3BFB0140CEFF}" keepAlive="1" name="Query - Signing Scheme (20)" description="Connection to the 'Signing Scheme (20)' query in the workbook." type="5" refreshedVersion="8" background="1" saveData="1">
    <dbPr connection="Provider=Microsoft.Mashup.OleDb.1;Data Source=$Workbook$;Location=&quot;Signing Scheme (20)&quot;;Extended Properties=&quot;&quot;" command="SELECT * FROM [Signing Scheme (20)]"/>
  </connection>
  <connection id="35" xr16:uid="{691B2267-6739-4E1A-B647-5258B5EA82AC}" keepAlive="1" name="Query - Signing Scheme (3)" description="Connection to the 'Signing Scheme (3)' query in the workbook." type="5" refreshedVersion="8" background="1" saveData="1">
    <dbPr connection="Provider=Microsoft.Mashup.OleDb.1;Data Source=$Workbook$;Location=&quot;Signing Scheme (3)&quot;;Extended Properties=&quot;&quot;" command="SELECT * FROM [Signing Scheme (3)]"/>
  </connection>
  <connection id="36" xr16:uid="{FF22B83A-0F06-4838-AD8A-21FB442EA87E}" keepAlive="1" name="Query - Signing Scheme (4)" description="Connection to the 'Signing Scheme (4)' query in the workbook." type="5" refreshedVersion="0" background="1">
    <dbPr connection="Provider=Microsoft.Mashup.OleDb.1;Data Source=$Workbook$;Location=&quot;Signing Scheme (4)&quot;;Extended Properties=&quot;&quot;" command="SELECT * FROM [Signing Scheme (4)]"/>
  </connection>
  <connection id="37" xr16:uid="{30749188-7AA4-4477-A92A-80CB062BF089}" keepAlive="1" name="Query - Signing Scheme (5)" description="Connection to the 'Signing Scheme (5)' query in the workbook." type="5" refreshedVersion="8" background="1" saveData="1">
    <dbPr connection="Provider=Microsoft.Mashup.OleDb.1;Data Source=$Workbook$;Location=&quot;Signing Scheme (5)&quot;;Extended Properties=&quot;&quot;" command="SELECT * FROM [Signing Scheme (5)]"/>
  </connection>
  <connection id="38" xr16:uid="{195BC23B-DD50-4BE2-90FA-03E260B54453}" keepAlive="1" name="Query - Signing Scheme (6)" description="Connection to the 'Signing Scheme (6)' query in the workbook." type="5" refreshedVersion="8" background="1" saveData="1">
    <dbPr connection="Provider=Microsoft.Mashup.OleDb.1;Data Source=$Workbook$;Location=&quot;Signing Scheme (6)&quot;;Extended Properties=&quot;&quot;" command="SELECT * FROM [Signing Scheme (6)]"/>
  </connection>
  <connection id="39" xr16:uid="{75AAAF4B-8E2F-4CBE-A681-4893FF9FF7D6}" keepAlive="1" name="Query - Signing Scheme (7)" description="Connection to the 'Signing Scheme (7)' query in the workbook." type="5" refreshedVersion="8" background="1" saveData="1">
    <dbPr connection="Provider=Microsoft.Mashup.OleDb.1;Data Source=$Workbook$;Location=&quot;Signing Scheme (7)&quot;;Extended Properties=&quot;&quot;" command="SELECT * FROM [Signing Scheme (7)]"/>
  </connection>
  <connection id="40" xr16:uid="{85304713-9C75-48A8-A12B-5314A118436C}" keepAlive="1" name="Query - Signing Scheme (8)" description="Connection to the 'Signing Scheme (8)' query in the workbook." type="5" refreshedVersion="8" background="1" saveData="1">
    <dbPr connection="Provider=Microsoft.Mashup.OleDb.1;Data Source=$Workbook$;Location=&quot;Signing Scheme (8)&quot;;Extended Properties=&quot;&quot;" command="SELECT * FROM [Signing Scheme (8)]"/>
  </connection>
  <connection id="41" xr16:uid="{4C6E2164-BCA7-4A4C-9B33-78B65C26A909}" keepAlive="1" name="Query - Signing Scheme (9)" description="Connection to the 'Signing Scheme (9)' query in the workbook." type="5" refreshedVersion="8" background="1" saveData="1">
    <dbPr connection="Provider=Microsoft.Mashup.OleDb.1;Data Source=$Workbook$;Location=&quot;Signing Scheme (9)&quot;;Extended Properties=&quot;&quot;" command="SELECT * FROM [Signing Scheme (9)]"/>
  </connection>
  <connection id="42" xr16:uid="{8B9FD9E5-41D0-4152-90CB-DFF496E0559F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43" xr16:uid="{5519C17B-29BE-4C7E-BBFB-269BBC80C98B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44" xr16:uid="{2D5CCB85-96C7-406C-9CE8-CE6273B36E31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45" xr16:uid="{F6809130-CD5C-4868-845E-FFF15600AFB5}" keepAlive="1" name="Query - Transform File (4)" description="Connection to the 'Transform File (4)' query in the workbook." type="5" refreshedVersion="0" background="1">
    <dbPr connection="Provider=Microsoft.Mashup.OleDb.1;Data Source=$Workbook$;Location=&quot;Transform File (4)&quot;;Extended Properties=&quot;&quot;" command="SELECT * FROM [Transform File (4)]"/>
  </connection>
  <connection id="46" xr16:uid="{0B8B9841-4F9C-4BA5-A550-A45153F0485D}" keepAlive="1" name="Query - Transform File (5)" description="Connection to the 'Transform File (5)' query in the workbook." type="5" refreshedVersion="0" background="1">
    <dbPr connection="Provider=Microsoft.Mashup.OleDb.1;Data Source=$Workbook$;Location=&quot;Transform File (5)&quot;;Extended Properties=&quot;&quot;" command="SELECT * FROM [Transform File (5)]"/>
  </connection>
  <connection id="47" xr16:uid="{E9D9AD4F-A5B0-4114-9508-068B0C98C625}" keepAlive="1" name="Query - Transform File (6)" description="Connection to the 'Transform File (6)' query in the workbook." type="5" refreshedVersion="0" background="1">
    <dbPr connection="Provider=Microsoft.Mashup.OleDb.1;Data Source=$Workbook$;Location=&quot;Transform File (6)&quot;;Extended Properties=&quot;&quot;" command="SELECT * FROM [Transform File (6)]"/>
  </connection>
  <connection id="48" xr16:uid="{47B08714-9AA6-4804-AB7D-F7CA65400368}" keepAlive="1" name="Query - Transform File (7)" description="Connection to the 'Transform File (7)' query in the workbook." type="5" refreshedVersion="0" background="1">
    <dbPr connection="Provider=Microsoft.Mashup.OleDb.1;Data Source=$Workbook$;Location=&quot;Transform File (7)&quot;;Extended Properties=&quot;&quot;" command="SELECT * FROM [Transform File (7)]"/>
  </connection>
  <connection id="49" xr16:uid="{803B2E67-0635-4B0F-AD32-DA6797EF15F9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50" xr16:uid="{12035D57-F6E9-4C95-87A6-5074D932A610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51" xr16:uid="{D8E0D03D-EE27-4D9B-9E5F-25EC62B7DD83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52" xr16:uid="{1158F8BC-5176-4AAC-8ED5-96BDA3BD6A30}" keepAlive="1" name="Query - Transform Sample File (4)" description="Connection to the 'Transform Sample File (4)' query in the workbook." type="5" refreshedVersion="0" background="1">
    <dbPr connection="Provider=Microsoft.Mashup.OleDb.1;Data Source=$Workbook$;Location=&quot;Transform Sample File (4)&quot;;Extended Properties=&quot;&quot;" command="SELECT * FROM [Transform Sample File (4)]"/>
  </connection>
  <connection id="53" xr16:uid="{244D985F-37B4-4AF5-AA92-701E2EB6E11F}" keepAlive="1" name="Query - Transform Sample File (5)" description="Connection to the 'Transform Sample File (5)' query in the workbook." type="5" refreshedVersion="0" background="1">
    <dbPr connection="Provider=Microsoft.Mashup.OleDb.1;Data Source=$Workbook$;Location=&quot;Transform Sample File (5)&quot;;Extended Properties=&quot;&quot;" command="SELECT * FROM [Transform Sample File (5)]"/>
  </connection>
  <connection id="54" xr16:uid="{97D129E2-7F42-4789-A5A4-05D5B91D1B9D}" keepAlive="1" name="Query - Transform Sample File (6)" description="Connection to the 'Transform Sample File (6)' query in the workbook." type="5" refreshedVersion="0" background="1">
    <dbPr connection="Provider=Microsoft.Mashup.OleDb.1;Data Source=$Workbook$;Location=&quot;Transform Sample File (6)&quot;;Extended Properties=&quot;&quot;" command="SELECT * FROM [Transform Sample File (6)]"/>
  </connection>
  <connection id="55" xr16:uid="{9AD021BF-589D-461B-B638-8C4967A67791}" keepAlive="1" name="Query - Transform Sample File (7)" description="Connection to the 'Transform Sample File (7)' query in the workbook." type="5" refreshedVersion="0" background="1">
    <dbPr connection="Provider=Microsoft.Mashup.OleDb.1;Data Source=$Workbook$;Location=&quot;Transform Sample File (7)&quot;;Extended Properties=&quot;&quot;" command="SELECT * FROM [Transform Sample File (7)]"/>
  </connection>
</connections>
</file>

<file path=xl/sharedStrings.xml><?xml version="1.0" encoding="utf-8"?>
<sst xmlns="http://schemas.openxmlformats.org/spreadsheetml/2006/main" count="780" uniqueCount="60">
  <si>
    <t>metric</t>
  </si>
  <si>
    <t>q1</t>
  </si>
  <si>
    <t>median</t>
  </si>
  <si>
    <t>q3</t>
  </si>
  <si>
    <t>iqr</t>
  </si>
  <si>
    <t>sign_seconds_total</t>
  </si>
  <si>
    <t>scheme_verify_seconds_total</t>
  </si>
  <si>
    <t>commit_seconds_total</t>
  </si>
  <si>
    <t>crypto_seconds_total</t>
  </si>
  <si>
    <t>tps_crypto_only</t>
  </si>
  <si>
    <t>tps_end_to_end</t>
  </si>
  <si>
    <t>cpu_seconds_total</t>
  </si>
  <si>
    <t>rss_delta_bytes</t>
  </si>
  <si>
    <t>tx_bytes</t>
  </si>
  <si>
    <t>chain_size_bytes_json</t>
  </si>
  <si>
    <t>Column1</t>
  </si>
  <si>
    <t>Column2</t>
  </si>
  <si>
    <t>ECDSA</t>
  </si>
  <si>
    <t>Source.Name</t>
  </si>
  <si>
    <t>dilithium_scheme_summary.csv</t>
  </si>
  <si>
    <t>ecdsa_dilithium_scheme_summary.csv</t>
  </si>
  <si>
    <t>ecdsa_falcon_scheme_summary.csv</t>
  </si>
  <si>
    <t>ecdsa_scheme_summary.csv</t>
  </si>
  <si>
    <t>falcon_scheme_summary.csv</t>
  </si>
  <si>
    <t>Dilithium</t>
  </si>
  <si>
    <t>Falcon</t>
  </si>
  <si>
    <t>Median</t>
  </si>
  <si>
    <t>Q1</t>
  </si>
  <si>
    <t>Q3</t>
  </si>
  <si>
    <t>IQR</t>
  </si>
  <si>
    <t>Median (μs)</t>
  </si>
  <si>
    <t>Q1 micro</t>
  </si>
  <si>
    <t>Q3 micro</t>
  </si>
  <si>
    <t>Lower micro</t>
  </si>
  <si>
    <t>Higher micro</t>
  </si>
  <si>
    <t>ECDSA + Dilithium</t>
  </si>
  <si>
    <t>ECDSA + Falcon</t>
  </si>
  <si>
    <t>dilithium_commit_summary.csv</t>
  </si>
  <si>
    <t>ecdsa_commit_summary.csv</t>
  </si>
  <si>
    <t>ecdsa_dilithium_commit_summary.csv</t>
  </si>
  <si>
    <t>ecdsa_falcon_commit_summary.csv</t>
  </si>
  <si>
    <t>falcon_commit_summary.csv</t>
  </si>
  <si>
    <t>mean</t>
  </si>
  <si>
    <t>std</t>
  </si>
  <si>
    <t>min</t>
  </si>
  <si>
    <t>max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</si>
  <si>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</si>
  <si>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</si>
  <si>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</si>
  <si>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</si>
  <si>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</si>
  <si>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</si>
  <si>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</si>
  <si>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</si>
  <si>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Scheme Verification Mode</t>
  </si>
  <si>
    <t>Block Commitment Mode</t>
  </si>
  <si>
    <t>tx_bytes_adjusted</t>
  </si>
  <si>
    <t>chain_size_bytes_json_adjusted</t>
  </si>
  <si>
    <t>pk_total_per_tx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</si>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</sst>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0.00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0.00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0.000000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64" formatCode="0.00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64" formatCode="0.00000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0.00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0.00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0.00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0.00000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 i="0" u="none" strike="noStrike" baseline="0">
                <a:solidFill>
                  <a:schemeClr val="tx1"/>
                </a:solidFill>
              </a:rPr>
              <a:t>Median Signing Time (µs per transaction) - Scheme Verification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25846555799826"/>
          <c:y val="7.4598898490300561E-2"/>
          <c:w val="0.89053159537966042"/>
          <c:h val="0.841362941830692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'Signing Scheme'!$D$1</c:f>
              <c:strCache>
                <c:ptCount val="1"/>
                <c:pt idx="0">
                  <c:v>Median (μs)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4951977075204912E-3"/>
                  <c:y val="0.3130414345678339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AD-4A2B-9E92-63139356B3FE}"/>
                </c:ext>
              </c:extLst>
            </c:dLbl>
            <c:dLbl>
              <c:idx val="2"/>
              <c:layout>
                <c:manualLayout>
                  <c:x val="-1.4994328719842066E-3"/>
                  <c:y val="0.198380909115662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AD-4A2B-9E92-63139356B3FE}"/>
                </c:ext>
              </c:extLst>
            </c:dLbl>
            <c:dLbl>
              <c:idx val="3"/>
              <c:layout>
                <c:manualLayout>
                  <c:x val="-2.9988657439684132E-3"/>
                  <c:y val="0.3858417681882604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AD-4A2B-9E92-63139356B3FE}"/>
                </c:ext>
              </c:extLst>
            </c:dLbl>
            <c:dLbl>
              <c:idx val="4"/>
              <c:layout>
                <c:manualLayout>
                  <c:x val="2.9988657439684132E-3"/>
                  <c:y val="0.2948413511627273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8AD-4A2B-9E92-63139356B3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'Signing Scheme'!$J:$J</c:f>
                <c:numCache>
                  <c:formatCode>General</c:formatCode>
                  <c:ptCount val="1048576"/>
                  <c:pt idx="0">
                    <c:v>0</c:v>
                  </c:pt>
                  <c:pt idx="1">
                    <c:v>7.9854750000002639E-2</c:v>
                  </c:pt>
                  <c:pt idx="2">
                    <c:v>3.5673722500000054</c:v>
                  </c:pt>
                  <c:pt idx="3">
                    <c:v>0.92849700000002144</c:v>
                  </c:pt>
                  <c:pt idx="4">
                    <c:v>0.90621974999999111</c:v>
                  </c:pt>
                  <c:pt idx="5">
                    <c:v>1.1041747499999985</c:v>
                  </c:pt>
                </c:numCache>
              </c:numRef>
            </c:plus>
            <c:minus>
              <c:numRef>
                <c:f>'Signing Scheme'!$I:$I</c:f>
                <c:numCache>
                  <c:formatCode>General</c:formatCode>
                  <c:ptCount val="1048576"/>
                  <c:pt idx="0">
                    <c:v>0</c:v>
                  </c:pt>
                  <c:pt idx="1">
                    <c:v>0.10429574999999502</c:v>
                  </c:pt>
                  <c:pt idx="2">
                    <c:v>1.2401382500000011</c:v>
                  </c:pt>
                  <c:pt idx="3">
                    <c:v>0.8000477500000045</c:v>
                  </c:pt>
                  <c:pt idx="4">
                    <c:v>1.6107225000000085</c:v>
                  </c:pt>
                  <c:pt idx="5">
                    <c:v>0.67494424999998159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'Signing Scheme'!$A$2:$A$6</c:f>
              <c:strCache>
                <c:ptCount val="5"/>
                <c:pt idx="0">
                  <c:v>ECDSA</c:v>
                </c:pt>
                <c:pt idx="1">
                  <c:v>Dilithium</c:v>
                </c:pt>
                <c:pt idx="2">
                  <c:v>Falcon</c:v>
                </c:pt>
                <c:pt idx="3">
                  <c:v>ECDSA + Dilithium</c:v>
                </c:pt>
                <c:pt idx="4">
                  <c:v>ECDSA + Falcon</c:v>
                </c:pt>
              </c:strCache>
            </c:strRef>
          </c:cat>
          <c:val>
            <c:numRef>
              <c:f>'Signing Scheme'!$D$2:$D$6</c:f>
              <c:numCache>
                <c:formatCode>0.00</c:formatCode>
                <c:ptCount val="5"/>
                <c:pt idx="0">
                  <c:v>20.653135999999996</c:v>
                </c:pt>
                <c:pt idx="1">
                  <c:v>240.51550599999999</c:v>
                </c:pt>
                <c:pt idx="2">
                  <c:v>202.41783699999999</c:v>
                </c:pt>
                <c:pt idx="3">
                  <c:v>268.66132550000003</c:v>
                </c:pt>
                <c:pt idx="4">
                  <c:v>237.73601300000001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D-4A2B-9E92-63139356B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1182239808"/>
        <c:axId val="1182266688"/>
      </c:barChart>
      <c:catAx>
        <c:axId val="118223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66688"/>
        <c:crosses val="autoZero"/>
        <c:auto val="1"/>
        <c:lblAlgn val="ctr"/>
        <c:lblOffset val="100"/>
        <c:noMultiLvlLbl val="0"/>
      </c:catAx>
      <c:valAx>
        <c:axId val="11822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>
                    <a:solidFill>
                      <a:schemeClr val="tx1"/>
                    </a:solidFill>
                  </a:rPr>
                  <a:t>Time (</a:t>
                </a:r>
                <a:r>
                  <a:rPr lang="el-GR" sz="2000" b="1">
                    <a:solidFill>
                      <a:schemeClr val="tx1"/>
                    </a:solidFill>
                  </a:rPr>
                  <a:t>μ</a:t>
                </a:r>
                <a:r>
                  <a:rPr lang="en-GB" sz="2000" b="1">
                    <a:solidFill>
                      <a:schemeClr val="tx1"/>
                    </a:solidFill>
                  </a:rPr>
                  <a:t>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3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 i="0" u="none" strike="noStrike" baseline="0">
                <a:solidFill>
                  <a:schemeClr val="tx1"/>
                </a:solidFill>
              </a:rPr>
              <a:t>Median Signing Time (µs per transaction) - Block Commitment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25845080708196"/>
          <c:y val="0.1043317834988924"/>
          <c:w val="0.89053159537966042"/>
          <c:h val="0.841362941830692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'Signing Commit'!$D$1</c:f>
              <c:strCache>
                <c:ptCount val="1"/>
                <c:pt idx="0">
                  <c:v>Median (μs)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4951977075204912E-3"/>
                  <c:y val="0.3130414345678339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8A-4E7A-82BF-07088671AD26}"/>
                </c:ext>
              </c:extLst>
            </c:dLbl>
            <c:dLbl>
              <c:idx val="2"/>
              <c:layout>
                <c:manualLayout>
                  <c:x val="-1.4994328719842066E-3"/>
                  <c:y val="0.198380909115662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8A-4E7A-82BF-07088671AD26}"/>
                </c:ext>
              </c:extLst>
            </c:dLbl>
            <c:dLbl>
              <c:idx val="3"/>
              <c:layout>
                <c:manualLayout>
                  <c:x val="-2.9988657439684132E-3"/>
                  <c:y val="0.3858417681882604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8A-4E7A-82BF-07088671AD26}"/>
                </c:ext>
              </c:extLst>
            </c:dLbl>
            <c:dLbl>
              <c:idx val="4"/>
              <c:layout>
                <c:manualLayout>
                  <c:x val="2.9988657439684132E-3"/>
                  <c:y val="0.2948413511627273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8A-4E7A-82BF-07088671AD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'Signing Commit'!$J:$J</c:f>
                <c:numCache>
                  <c:formatCode>General</c:formatCode>
                  <c:ptCount val="1048576"/>
                  <c:pt idx="0">
                    <c:v>0</c:v>
                  </c:pt>
                  <c:pt idx="1">
                    <c:v>6.5542749999998762E-2</c:v>
                  </c:pt>
                  <c:pt idx="2">
                    <c:v>0.94894899999997051</c:v>
                  </c:pt>
                  <c:pt idx="3">
                    <c:v>0.79486024999997085</c:v>
                  </c:pt>
                  <c:pt idx="4">
                    <c:v>2.4900427499999864</c:v>
                  </c:pt>
                  <c:pt idx="5">
                    <c:v>1.8031167500000436</c:v>
                  </c:pt>
                </c:numCache>
              </c:numRef>
            </c:plus>
            <c:minus>
              <c:numRef>
                <c:f>'Signing Commit'!$I:$I</c:f>
                <c:numCache>
                  <c:formatCode>General</c:formatCode>
                  <c:ptCount val="1048576"/>
                  <c:pt idx="0">
                    <c:v>0</c:v>
                  </c:pt>
                  <c:pt idx="1">
                    <c:v>7.6955000000001661E-2</c:v>
                  </c:pt>
                  <c:pt idx="2">
                    <c:v>2.1125240000000076</c:v>
                  </c:pt>
                  <c:pt idx="3">
                    <c:v>0.89223300000000449</c:v>
                  </c:pt>
                  <c:pt idx="4">
                    <c:v>0.47581150000002026</c:v>
                  </c:pt>
                  <c:pt idx="5">
                    <c:v>2.5481702499999699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'Signing Commit'!$A$2:$A$6</c:f>
              <c:strCache>
                <c:ptCount val="5"/>
                <c:pt idx="0">
                  <c:v>ECDSA</c:v>
                </c:pt>
                <c:pt idx="1">
                  <c:v>Dilithium</c:v>
                </c:pt>
                <c:pt idx="2">
                  <c:v>Falcon</c:v>
                </c:pt>
                <c:pt idx="3">
                  <c:v>ECDSA + Dilithium</c:v>
                </c:pt>
                <c:pt idx="4">
                  <c:v>ECDSA + Falcon</c:v>
                </c:pt>
              </c:strCache>
            </c:strRef>
          </c:cat>
          <c:val>
            <c:numRef>
              <c:f>'Signing Commit'!$D$2:$D$6</c:f>
              <c:numCache>
                <c:formatCode>0.00</c:formatCode>
                <c:ptCount val="5"/>
                <c:pt idx="0">
                  <c:v>20.667388500000001</c:v>
                </c:pt>
                <c:pt idx="1">
                  <c:v>244.46493050000004</c:v>
                </c:pt>
                <c:pt idx="2">
                  <c:v>203.09132050000002</c:v>
                </c:pt>
                <c:pt idx="3">
                  <c:v>268.951686</c:v>
                </c:pt>
                <c:pt idx="4">
                  <c:v>234.34903649999998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8A-4E7A-82BF-07088671A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1182239808"/>
        <c:axId val="1182266688"/>
      </c:barChart>
      <c:catAx>
        <c:axId val="118223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66688"/>
        <c:crosses val="autoZero"/>
        <c:auto val="1"/>
        <c:lblAlgn val="ctr"/>
        <c:lblOffset val="100"/>
        <c:noMultiLvlLbl val="0"/>
      </c:catAx>
      <c:valAx>
        <c:axId val="11822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>
                    <a:solidFill>
                      <a:schemeClr val="tx1"/>
                    </a:solidFill>
                  </a:rPr>
                  <a:t>Time (</a:t>
                </a:r>
                <a:r>
                  <a:rPr lang="el-GR" sz="2000" b="1">
                    <a:solidFill>
                      <a:schemeClr val="tx1"/>
                    </a:solidFill>
                  </a:rPr>
                  <a:t>μ</a:t>
                </a:r>
                <a:r>
                  <a:rPr lang="en-GB" sz="2000" b="1">
                    <a:solidFill>
                      <a:schemeClr val="tx1"/>
                    </a:solidFill>
                  </a:rPr>
                  <a:t>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3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 i="0" u="none" strike="noStrike" baseline="0">
                <a:solidFill>
                  <a:schemeClr val="tx1"/>
                </a:solidFill>
              </a:rPr>
              <a:t>Median Verification Time (µs per transaction) - </a:t>
            </a:r>
            <a:r>
              <a:rPr lang="en-GB" sz="2000" b="1" i="0" u="none" strike="noStrike" kern="1200" spc="0" baseline="0">
                <a:solidFill>
                  <a:schemeClr val="tx1"/>
                </a:solidFill>
              </a:rPr>
              <a:t>Scheme Verification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25845080708196"/>
          <c:y val="0.1043317834988924"/>
          <c:w val="0.89053159537966042"/>
          <c:h val="0.841362941830692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'Verifying Scheme'!$D$1</c:f>
              <c:strCache>
                <c:ptCount val="1"/>
                <c:pt idx="0">
                  <c:v>Median (μs)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0730761169729731E-3"/>
                  <c:y val="0.184975262113209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B67-49BD-BB01-DF708D7901AB}"/>
                </c:ext>
              </c:extLst>
            </c:dLbl>
            <c:dLbl>
              <c:idx val="1"/>
              <c:layout>
                <c:manualLayout>
                  <c:x val="-1.4951717210494489E-3"/>
                  <c:y val="0.2413455784555699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B67-49BD-BB01-DF708D7901AB}"/>
                </c:ext>
              </c:extLst>
            </c:dLbl>
            <c:dLbl>
              <c:idx val="2"/>
              <c:layout>
                <c:manualLayout>
                  <c:x val="-4.8115216098343713E-4"/>
                  <c:y val="0.1596651635003826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67-49BD-BB01-DF708D7901AB}"/>
                </c:ext>
              </c:extLst>
            </c:dLbl>
            <c:dLbl>
              <c:idx val="3"/>
              <c:layout>
                <c:manualLayout>
                  <c:x val="-2.9988657439684132E-3"/>
                  <c:y val="0.3858417681882604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B67-49BD-BB01-DF708D7901AB}"/>
                </c:ext>
              </c:extLst>
            </c:dLbl>
            <c:dLbl>
              <c:idx val="4"/>
              <c:layout>
                <c:manualLayout>
                  <c:x val="2.9988657439684132E-3"/>
                  <c:y val="0.2948413511627273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67-49BD-BB01-DF708D7901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'Verifying Scheme'!$J:$J</c:f>
                <c:numCache>
                  <c:formatCode>General</c:formatCode>
                  <c:ptCount val="1048576"/>
                  <c:pt idx="0">
                    <c:v>0</c:v>
                  </c:pt>
                  <c:pt idx="1">
                    <c:v>0.10908325000000474</c:v>
                  </c:pt>
                  <c:pt idx="2">
                    <c:v>0.79635600000000295</c:v>
                  </c:pt>
                  <c:pt idx="3">
                    <c:v>7.6930999999998306E-2</c:v>
                  </c:pt>
                  <c:pt idx="4">
                    <c:v>0.32163950000000341</c:v>
                  </c:pt>
                  <c:pt idx="5">
                    <c:v>0.19472749999999905</c:v>
                  </c:pt>
                  <c:pt idx="17">
                    <c:v>0</c:v>
                  </c:pt>
                  <c:pt idx="18">
                    <c:v>3.3195953999999999</c:v>
                  </c:pt>
                  <c:pt idx="19">
                    <c:v>5.5519477999999998</c:v>
                  </c:pt>
                  <c:pt idx="20">
                    <c:v>2.9897301999999999</c:v>
                  </c:pt>
                  <c:pt idx="21">
                    <c:v>9.0906672999999998</c:v>
                  </c:pt>
                  <c:pt idx="22">
                    <c:v>6.6883125000000003</c:v>
                  </c:pt>
                </c:numCache>
              </c:numRef>
            </c:plus>
            <c:minus>
              <c:numRef>
                <c:f>'Verifying Scheme'!$I:$I</c:f>
                <c:numCache>
                  <c:formatCode>General</c:formatCode>
                  <c:ptCount val="1048576"/>
                  <c:pt idx="0">
                    <c:v>0</c:v>
                  </c:pt>
                  <c:pt idx="1">
                    <c:v>0.17393249999999938</c:v>
                  </c:pt>
                  <c:pt idx="2">
                    <c:v>0.40245724999999766</c:v>
                  </c:pt>
                  <c:pt idx="3">
                    <c:v>0.16299550000000451</c:v>
                  </c:pt>
                  <c:pt idx="4">
                    <c:v>0.59138899999999239</c:v>
                  </c:pt>
                  <c:pt idx="5">
                    <c:v>0.24418475000000228</c:v>
                  </c:pt>
                  <c:pt idx="17">
                    <c:v>0</c:v>
                  </c:pt>
                  <c:pt idx="18">
                    <c:v>3.2586579000000002</c:v>
                  </c:pt>
                  <c:pt idx="19">
                    <c:v>5.3678457999999996</c:v>
                  </c:pt>
                  <c:pt idx="20">
                    <c:v>2.9483806000000001</c:v>
                  </c:pt>
                  <c:pt idx="21">
                    <c:v>8.9002099999999995</c:v>
                  </c:pt>
                  <c:pt idx="22">
                    <c:v>6.5199619999999996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'Verifying Scheme'!$A$2:$A$6</c:f>
              <c:strCache>
                <c:ptCount val="5"/>
                <c:pt idx="0">
                  <c:v>ECDSA</c:v>
                </c:pt>
                <c:pt idx="1">
                  <c:v>Dilithium</c:v>
                </c:pt>
                <c:pt idx="2">
                  <c:v>Falcon</c:v>
                </c:pt>
                <c:pt idx="3">
                  <c:v>ECDSA + Dilithium</c:v>
                </c:pt>
                <c:pt idx="4">
                  <c:v>ECDSA + Falcon</c:v>
                </c:pt>
              </c:strCache>
            </c:strRef>
          </c:cat>
          <c:val>
            <c:numRef>
              <c:f>'Verifying Scheme'!$D$2:$D$6</c:f>
              <c:numCache>
                <c:formatCode>0.00</c:formatCode>
                <c:ptCount val="5"/>
                <c:pt idx="0">
                  <c:v>32.929775999999997</c:v>
                </c:pt>
                <c:pt idx="1">
                  <c:v>54.436560999999998</c:v>
                </c:pt>
                <c:pt idx="2">
                  <c:v>29.773300500000001</c:v>
                </c:pt>
                <c:pt idx="3">
                  <c:v>90.042417499999999</c:v>
                </c:pt>
                <c:pt idx="4">
                  <c:v>66.298600000000008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67-49BD-BB01-DF708D790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1182239808"/>
        <c:axId val="1182266688"/>
      </c:barChart>
      <c:catAx>
        <c:axId val="118223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66688"/>
        <c:crosses val="autoZero"/>
        <c:auto val="1"/>
        <c:lblAlgn val="ctr"/>
        <c:lblOffset val="100"/>
        <c:noMultiLvlLbl val="0"/>
      </c:catAx>
      <c:valAx>
        <c:axId val="11822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>
                    <a:solidFill>
                      <a:schemeClr val="tx1"/>
                    </a:solidFill>
                  </a:rPr>
                  <a:t>Time (</a:t>
                </a:r>
                <a:r>
                  <a:rPr lang="el-GR" sz="2000" b="1">
                    <a:solidFill>
                      <a:schemeClr val="tx1"/>
                    </a:solidFill>
                  </a:rPr>
                  <a:t>μ</a:t>
                </a:r>
                <a:r>
                  <a:rPr lang="en-GB" sz="2000" b="1">
                    <a:solidFill>
                      <a:schemeClr val="tx1"/>
                    </a:solidFill>
                  </a:rPr>
                  <a:t>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3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 i="0" u="none" strike="noStrike" baseline="0">
                <a:solidFill>
                  <a:schemeClr val="tx1"/>
                </a:solidFill>
              </a:rPr>
              <a:t>Median Crypto-only Throughput (tx/s) - </a:t>
            </a:r>
            <a:r>
              <a:rPr lang="en-GB" sz="2000" b="1" i="0" u="none" strike="noStrike" kern="1200" spc="0" baseline="0">
                <a:solidFill>
                  <a:schemeClr val="tx1"/>
                </a:solidFill>
              </a:rPr>
              <a:t>Scheme Verification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24339478462583"/>
          <c:y val="0.1043317834988924"/>
          <c:w val="0.89053159537966042"/>
          <c:h val="0.841362941830692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'Crypto Only Throughput Scheme'!$D$1</c:f>
              <c:strCache>
                <c:ptCount val="1"/>
                <c:pt idx="0">
                  <c:v>Median (μs)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0730761169729731E-3"/>
                  <c:y val="0.184975262113209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5B-462C-A812-876CDBF5BB11}"/>
                </c:ext>
              </c:extLst>
            </c:dLbl>
            <c:dLbl>
              <c:idx val="1"/>
              <c:layout>
                <c:manualLayout>
                  <c:x val="5.4520130073924973E-4"/>
                  <c:y val="9.65585997746378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5B-462C-A812-876CDBF5BB11}"/>
                </c:ext>
              </c:extLst>
            </c:dLbl>
            <c:dLbl>
              <c:idx val="2"/>
              <c:layout>
                <c:manualLayout>
                  <c:x val="-4.8117810393824047E-4"/>
                  <c:y val="0.133854661810167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5B-462C-A812-876CDBF5BB11}"/>
                </c:ext>
              </c:extLst>
            </c:dLbl>
            <c:dLbl>
              <c:idx val="3"/>
              <c:layout>
                <c:manualLayout>
                  <c:x val="-1.9887957744154409E-3"/>
                  <c:y val="7.980424213547464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5B-462C-A812-876CDBF5BB11}"/>
                </c:ext>
              </c:extLst>
            </c:dLbl>
            <c:dLbl>
              <c:idx val="4"/>
              <c:layout>
                <c:manualLayout>
                  <c:x val="-6.1693620004092019E-5"/>
                  <c:y val="9.806172842293985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5B-462C-A812-876CDBF5BB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'Crypto Only Throughput Scheme'!$A$2:$A$6</c:f>
              <c:strCache>
                <c:ptCount val="5"/>
                <c:pt idx="0">
                  <c:v>ECDSA</c:v>
                </c:pt>
                <c:pt idx="1">
                  <c:v>Dilithium</c:v>
                </c:pt>
                <c:pt idx="2">
                  <c:v>Falcon</c:v>
                </c:pt>
                <c:pt idx="3">
                  <c:v>ECDSA + Dilithium</c:v>
                </c:pt>
                <c:pt idx="4">
                  <c:v>ECDSA + Falcon</c:v>
                </c:pt>
              </c:strCache>
            </c:strRef>
          </c:cat>
          <c:val>
            <c:numRef>
              <c:f>'Crypto Only Throughput Scheme'!$D$2:$D$6</c:f>
              <c:numCache>
                <c:formatCode>0.00</c:formatCode>
                <c:ptCount val="5"/>
                <c:pt idx="0">
                  <c:v>18662.679358244179</c:v>
                </c:pt>
                <c:pt idx="1">
                  <c:v>3390.39198474562</c:v>
                </c:pt>
                <c:pt idx="2">
                  <c:v>4308.6445826907393</c:v>
                </c:pt>
                <c:pt idx="3">
                  <c:v>2787.6118349858207</c:v>
                </c:pt>
                <c:pt idx="4">
                  <c:v>3289.7809105136198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5B-462C-A812-876CDBF5B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1182239808"/>
        <c:axId val="1182266688"/>
      </c:barChart>
      <c:catAx>
        <c:axId val="118223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66688"/>
        <c:crosses val="autoZero"/>
        <c:auto val="1"/>
        <c:lblAlgn val="ctr"/>
        <c:lblOffset val="100"/>
        <c:noMultiLvlLbl val="0"/>
      </c:catAx>
      <c:valAx>
        <c:axId val="11822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>
                    <a:solidFill>
                      <a:schemeClr val="tx1"/>
                    </a:solidFill>
                  </a:rPr>
                  <a:t>Transactions</a:t>
                </a:r>
                <a:r>
                  <a:rPr lang="en-GB" sz="2000" b="1" baseline="0">
                    <a:solidFill>
                      <a:schemeClr val="tx1"/>
                    </a:solidFill>
                  </a:rPr>
                  <a:t> per Second</a:t>
                </a:r>
                <a:endParaRPr lang="en-GB" sz="20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3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 i="0" u="none" strike="noStrike" baseline="0">
                <a:solidFill>
                  <a:schemeClr val="tx1"/>
                </a:solidFill>
              </a:rPr>
              <a:t>Crypto-only Throughput (tx/s) - </a:t>
            </a:r>
            <a:r>
              <a:rPr lang="en-GB" sz="2000" b="1" i="0" u="none" strike="noStrike" kern="1200" spc="0" baseline="0">
                <a:solidFill>
                  <a:schemeClr val="tx1"/>
                </a:solidFill>
              </a:rPr>
              <a:t>Scheme Verification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65308551032993"/>
          <c:y val="0.1043317834988924"/>
          <c:w val="0.8553659579953734"/>
          <c:h val="0.841362941830692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'Total System Throughput (S+C)'!$D$1</c:f>
              <c:strCache>
                <c:ptCount val="1"/>
                <c:pt idx="0">
                  <c:v>Median (μs)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0730761169729731E-3"/>
                  <c:y val="0.184975262113209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BC2-4602-85D0-CE4DB9EF0B7E}"/>
                </c:ext>
              </c:extLst>
            </c:dLbl>
            <c:dLbl>
              <c:idx val="1"/>
              <c:layout>
                <c:manualLayout>
                  <c:x val="5.4520130073924973E-4"/>
                  <c:y val="9.65585997746378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C2-4602-85D0-CE4DB9EF0B7E}"/>
                </c:ext>
              </c:extLst>
            </c:dLbl>
            <c:dLbl>
              <c:idx val="2"/>
              <c:layout>
                <c:manualLayout>
                  <c:x val="-4.8117810393824047E-4"/>
                  <c:y val="0.133854661810167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BC2-4602-85D0-CE4DB9EF0B7E}"/>
                </c:ext>
              </c:extLst>
            </c:dLbl>
            <c:dLbl>
              <c:idx val="3"/>
              <c:layout>
                <c:manualLayout>
                  <c:x val="-1.9887957744154409E-3"/>
                  <c:y val="7.980424213547464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C2-4602-85D0-CE4DB9EF0B7E}"/>
                </c:ext>
              </c:extLst>
            </c:dLbl>
            <c:dLbl>
              <c:idx val="4"/>
              <c:layout>
                <c:manualLayout>
                  <c:x val="-6.1693620004092019E-5"/>
                  <c:y val="9.806172842293985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BC2-4602-85D0-CE4DB9EF0B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'Total System Throughput (S+C)'!$J:$J</c:f>
                <c:numCache>
                  <c:formatCode>General</c:formatCode>
                  <c:ptCount val="1048576"/>
                  <c:pt idx="0">
                    <c:v>0</c:v>
                  </c:pt>
                  <c:pt idx="1">
                    <c:v>114.14338673293605</c:v>
                  </c:pt>
                  <c:pt idx="2">
                    <c:v>18.440146829231708</c:v>
                  </c:pt>
                  <c:pt idx="3">
                    <c:v>17.534836816399547</c:v>
                  </c:pt>
                  <c:pt idx="4">
                    <c:v>17.20526856563265</c:v>
                  </c:pt>
                  <c:pt idx="5">
                    <c:v>7.6846735040326166</c:v>
                  </c:pt>
                  <c:pt idx="6">
                    <c:v>59.301161669614885</c:v>
                  </c:pt>
                  <c:pt idx="7">
                    <c:v>26.436103364530936</c:v>
                  </c:pt>
                  <c:pt idx="8">
                    <c:v>21.737821451868513</c:v>
                  </c:pt>
                  <c:pt idx="9">
                    <c:v>8.7525314917847936</c:v>
                  </c:pt>
                  <c:pt idx="10">
                    <c:v>28.763819342075294</c:v>
                  </c:pt>
                  <c:pt idx="22">
                    <c:v>0</c:v>
                  </c:pt>
                  <c:pt idx="41">
                    <c:v>15977.673438243595</c:v>
                  </c:pt>
                  <c:pt idx="42">
                    <c:v>3295.8864275506235</c:v>
                  </c:pt>
                  <c:pt idx="43">
                    <c:v>4129.8123758921829</c:v>
                  </c:pt>
                  <c:pt idx="44">
                    <c:v>2704.7365768873501</c:v>
                  </c:pt>
                  <c:pt idx="45">
                    <c:v>3183.3969904496012</c:v>
                  </c:pt>
                  <c:pt idx="50">
                    <c:v>16253.822553670347</c:v>
                  </c:pt>
                  <c:pt idx="51">
                    <c:v>3260.2227937146408</c:v>
                  </c:pt>
                  <c:pt idx="52">
                    <c:v>4137.915464505676</c:v>
                  </c:pt>
                  <c:pt idx="53">
                    <c:v>2714.9979082706077</c:v>
                  </c:pt>
                  <c:pt idx="54">
                    <c:v>3274.8496706457049</c:v>
                  </c:pt>
                </c:numCache>
              </c:numRef>
            </c:plus>
            <c:minus>
              <c:numRef>
                <c:f>'Total System Throughput (S+C)'!$I:$I</c:f>
                <c:numCache>
                  <c:formatCode>General</c:formatCode>
                  <c:ptCount val="1048576"/>
                  <c:pt idx="0">
                    <c:v>0</c:v>
                  </c:pt>
                  <c:pt idx="1">
                    <c:v>17.365764054397005</c:v>
                  </c:pt>
                  <c:pt idx="2">
                    <c:v>45.54455580077456</c:v>
                  </c:pt>
                  <c:pt idx="3">
                    <c:v>18.733864356134745</c:v>
                  </c:pt>
                  <c:pt idx="4">
                    <c:v>10.328091490021052</c:v>
                  </c:pt>
                  <c:pt idx="5">
                    <c:v>11.74883519884861</c:v>
                  </c:pt>
                  <c:pt idx="6">
                    <c:v>76.52814181665417</c:v>
                  </c:pt>
                  <c:pt idx="7">
                    <c:v>14.830505145549068</c:v>
                  </c:pt>
                  <c:pt idx="8">
                    <c:v>14.299640531556634</c:v>
                  </c:pt>
                  <c:pt idx="9">
                    <c:v>21.580545572230221</c:v>
                  </c:pt>
                  <c:pt idx="10">
                    <c:v>22.292203928531308</c:v>
                  </c:pt>
                  <c:pt idx="22">
                    <c:v>0</c:v>
                  </c:pt>
                  <c:pt idx="41">
                    <c:v>15657.963438217446</c:v>
                  </c:pt>
                  <c:pt idx="42">
                    <c:v>3174.6368761451163</c:v>
                  </c:pt>
                  <c:pt idx="43">
                    <c:v>4043.1120106460344</c:v>
                  </c:pt>
                  <c:pt idx="44">
                    <c:v>2658.6272755516507</c:v>
                  </c:pt>
                  <c:pt idx="45">
                    <c:v>3096.5976483254376</c:v>
                  </c:pt>
                  <c:pt idx="50">
                    <c:v>15750.607898649114</c:v>
                  </c:pt>
                  <c:pt idx="51">
                    <c:v>3168.1237982138305</c:v>
                  </c:pt>
                  <c:pt idx="52">
                    <c:v>4042.7874065070218</c:v>
                  </c:pt>
                  <c:pt idx="53">
                    <c:v>2658.6049045735685</c:v>
                  </c:pt>
                  <c:pt idx="54">
                    <c:v>3162.9017434767602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'Total System Throughput (S+C)'!$A$2:$A$11</c:f>
              <c:strCache>
                <c:ptCount val="5"/>
                <c:pt idx="0">
                  <c:v>ECDSA</c:v>
                </c:pt>
                <c:pt idx="1">
                  <c:v>Dilithium</c:v>
                </c:pt>
                <c:pt idx="2">
                  <c:v>Falcon</c:v>
                </c:pt>
                <c:pt idx="3">
                  <c:v>ECDSA + Dilithium</c:v>
                </c:pt>
                <c:pt idx="4">
                  <c:v>ECDSA + Falcon</c:v>
                </c:pt>
              </c:strCache>
            </c:strRef>
          </c:cat>
          <c:val>
            <c:numRef>
              <c:f>'Total System Throughput (S+C)'!$D$2:$D$11</c:f>
              <c:numCache>
                <c:formatCode>0.00</c:formatCode>
                <c:ptCount val="10"/>
                <c:pt idx="0">
                  <c:v>15799.117915910261</c:v>
                </c:pt>
                <c:pt idx="1">
                  <c:v>3249.4164199849729</c:v>
                </c:pt>
                <c:pt idx="2">
                  <c:v>4083.9595543214064</c:v>
                </c:pt>
                <c:pt idx="3">
                  <c:v>2676.6110792976638</c:v>
                </c:pt>
                <c:pt idx="4">
                  <c:v>3121.2119144575563</c:v>
                </c:pt>
                <c:pt idx="5">
                  <c:v>15927.172713513482</c:v>
                </c:pt>
                <c:pt idx="6">
                  <c:v>3212.8832685548959</c:v>
                </c:pt>
                <c:pt idx="7">
                  <c:v>4107.4561248259233</c:v>
                </c:pt>
                <c:pt idx="8">
                  <c:v>2690.6579672986263</c:v>
                </c:pt>
                <c:pt idx="9">
                  <c:v>3206.4299573444005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C2-4602-85D0-CE4DB9EF0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1182239808"/>
        <c:axId val="1182266688"/>
      </c:barChart>
      <c:catAx>
        <c:axId val="118223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66688"/>
        <c:crosses val="autoZero"/>
        <c:auto val="1"/>
        <c:lblAlgn val="ctr"/>
        <c:lblOffset val="100"/>
        <c:noMultiLvlLbl val="0"/>
      </c:catAx>
      <c:valAx>
        <c:axId val="11822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>
                    <a:solidFill>
                      <a:schemeClr val="tx1"/>
                    </a:solidFill>
                  </a:rPr>
                  <a:t>Transactions</a:t>
                </a:r>
                <a:r>
                  <a:rPr lang="en-GB" sz="2000" b="1" baseline="0">
                    <a:solidFill>
                      <a:schemeClr val="tx1"/>
                    </a:solidFill>
                  </a:rPr>
                  <a:t> per Second</a:t>
                </a:r>
                <a:endParaRPr lang="en-GB" sz="20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3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 i="0" u="none" strike="noStrike" baseline="0">
                <a:solidFill>
                  <a:sysClr val="windowText" lastClr="000000"/>
                </a:solidFill>
              </a:rPr>
              <a:t>Median End-to-end throughput (tx/s)</a:t>
            </a:r>
            <a:endParaRPr lang="en-GB" sz="2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753068301247438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92249180640176"/>
          <c:y val="8.0479040920219846E-2"/>
          <c:w val="0.87828122653810881"/>
          <c:h val="0.867056623696974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'Total System Throughput (S+C)'!$A$31</c:f>
              <c:strCache>
                <c:ptCount val="1"/>
                <c:pt idx="0">
                  <c:v>Scheme Verification Mode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'Total System Throughput (S+C)'!$J$2:$J$6</c:f>
                <c:numCache>
                  <c:formatCode>General</c:formatCode>
                  <c:ptCount val="5"/>
                  <c:pt idx="0">
                    <c:v>114.14338673293605</c:v>
                  </c:pt>
                  <c:pt idx="1">
                    <c:v>18.440146829231708</c:v>
                  </c:pt>
                  <c:pt idx="2">
                    <c:v>17.534836816399547</c:v>
                  </c:pt>
                  <c:pt idx="3">
                    <c:v>17.20526856563265</c:v>
                  </c:pt>
                  <c:pt idx="4">
                    <c:v>7.6846735040326166</c:v>
                  </c:pt>
                </c:numCache>
              </c:numRef>
            </c:plus>
            <c:minus>
              <c:numRef>
                <c:f>'Total System Throughput (S+C)'!$I$2:$I$6</c:f>
                <c:numCache>
                  <c:formatCode>General</c:formatCode>
                  <c:ptCount val="5"/>
                  <c:pt idx="0">
                    <c:v>17.365764054397005</c:v>
                  </c:pt>
                  <c:pt idx="1">
                    <c:v>45.54455580077456</c:v>
                  </c:pt>
                  <c:pt idx="2">
                    <c:v>18.733864356134745</c:v>
                  </c:pt>
                  <c:pt idx="3">
                    <c:v>10.328091490021052</c:v>
                  </c:pt>
                  <c:pt idx="4">
                    <c:v>11.74883519884861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'Total System Throughput (S+C)'!$A$2:$A$6</c:f>
              <c:strCache>
                <c:ptCount val="5"/>
                <c:pt idx="0">
                  <c:v>ECDSA</c:v>
                </c:pt>
                <c:pt idx="1">
                  <c:v>Dilithium</c:v>
                </c:pt>
                <c:pt idx="2">
                  <c:v>Falcon</c:v>
                </c:pt>
                <c:pt idx="3">
                  <c:v>ECDSA + Dilithium</c:v>
                </c:pt>
                <c:pt idx="4">
                  <c:v>ECDSA + Falcon</c:v>
                </c:pt>
              </c:strCache>
            </c:strRef>
          </c:cat>
          <c:val>
            <c:numRef>
              <c:f>'Total System Throughput (S+C)'!$C$2:$C$6</c:f>
              <c:numCache>
                <c:formatCode>0.00</c:formatCode>
                <c:ptCount val="5"/>
                <c:pt idx="0">
                  <c:v>15799.117915910261</c:v>
                </c:pt>
                <c:pt idx="1">
                  <c:v>3249.4164199849729</c:v>
                </c:pt>
                <c:pt idx="2">
                  <c:v>4083.9595543214064</c:v>
                </c:pt>
                <c:pt idx="3">
                  <c:v>2676.6110792976638</c:v>
                </c:pt>
                <c:pt idx="4">
                  <c:v>3121.2119144575563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3F-4AFA-8E79-E7605C975338}"/>
            </c:ext>
          </c:extLst>
        </c:ser>
        <c:ser>
          <c:idx val="1"/>
          <c:order val="1"/>
          <c:tx>
            <c:strRef>
              <c:f>'Total System Throughput (S+C)'!$A$32</c:f>
              <c:strCache>
                <c:ptCount val="1"/>
                <c:pt idx="0">
                  <c:v>Block Commitment Mode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'Total System Throughput (S+C)'!$J$7:$J$11</c:f>
                <c:numCache>
                  <c:formatCode>General</c:formatCode>
                  <c:ptCount val="5"/>
                  <c:pt idx="0">
                    <c:v>59.301161669614885</c:v>
                  </c:pt>
                  <c:pt idx="1">
                    <c:v>26.436103364530936</c:v>
                  </c:pt>
                  <c:pt idx="2">
                    <c:v>21.737821451868513</c:v>
                  </c:pt>
                  <c:pt idx="3">
                    <c:v>8.7525314917847936</c:v>
                  </c:pt>
                  <c:pt idx="4">
                    <c:v>28.763819342075294</c:v>
                  </c:pt>
                </c:numCache>
              </c:numRef>
            </c:plus>
            <c:minus>
              <c:numRef>
                <c:f>'Total System Throughput (S+C)'!$I$7:$I$11</c:f>
                <c:numCache>
                  <c:formatCode>General</c:formatCode>
                  <c:ptCount val="5"/>
                  <c:pt idx="0">
                    <c:v>76.52814181665417</c:v>
                  </c:pt>
                  <c:pt idx="1">
                    <c:v>14.830505145549068</c:v>
                  </c:pt>
                  <c:pt idx="2">
                    <c:v>14.299640531556634</c:v>
                  </c:pt>
                  <c:pt idx="3">
                    <c:v>21.580545572230221</c:v>
                  </c:pt>
                  <c:pt idx="4">
                    <c:v>22.292203928531308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'Total System Throughput (S+C)'!$A$2:$A$6</c:f>
              <c:strCache>
                <c:ptCount val="5"/>
                <c:pt idx="0">
                  <c:v>ECDSA</c:v>
                </c:pt>
                <c:pt idx="1">
                  <c:v>Dilithium</c:v>
                </c:pt>
                <c:pt idx="2">
                  <c:v>Falcon</c:v>
                </c:pt>
                <c:pt idx="3">
                  <c:v>ECDSA + Dilithium</c:v>
                </c:pt>
                <c:pt idx="4">
                  <c:v>ECDSA + Falcon</c:v>
                </c:pt>
              </c:strCache>
            </c:strRef>
          </c:cat>
          <c:val>
            <c:numRef>
              <c:f>'Total System Throughput (S+C)'!$C$7:$C$11</c:f>
              <c:numCache>
                <c:formatCode>0.00</c:formatCode>
                <c:ptCount val="5"/>
                <c:pt idx="0">
                  <c:v>15927.172713513482</c:v>
                </c:pt>
                <c:pt idx="1">
                  <c:v>3212.8832685548959</c:v>
                </c:pt>
                <c:pt idx="2">
                  <c:v>4107.4561248259233</c:v>
                </c:pt>
                <c:pt idx="3">
                  <c:v>2690.6579672986263</c:v>
                </c:pt>
                <c:pt idx="4">
                  <c:v>3206.4299573444005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3F-4AFA-8E79-E7605C975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0"/>
        <c:axId val="756977888"/>
        <c:axId val="756978848"/>
      </c:barChart>
      <c:catAx>
        <c:axId val="75697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978848"/>
        <c:crosses val="autoZero"/>
        <c:auto val="1"/>
        <c:lblAlgn val="ctr"/>
        <c:lblOffset val="100"/>
        <c:noMultiLvlLbl val="0"/>
      </c:catAx>
      <c:valAx>
        <c:axId val="7569788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 i="0" u="none" strike="noStrike" kern="1200" baseline="0">
                    <a:solidFill>
                      <a:schemeClr val="tx1"/>
                    </a:solidFill>
                  </a:rPr>
                  <a:t>Transactions per Second (tx/s)</a:t>
                </a:r>
              </a:p>
            </c:rich>
          </c:tx>
          <c:layout>
            <c:manualLayout>
              <c:xMode val="edge"/>
              <c:yMode val="edge"/>
              <c:x val="6.5725467120558527E-4"/>
              <c:y val="0.372872074789185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97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 i="0" u="none" strike="noStrike" baseline="0">
                <a:solidFill>
                  <a:sysClr val="windowText" lastClr="000000"/>
                </a:solidFill>
              </a:rPr>
              <a:t>Median Total CPU Time (s)</a:t>
            </a:r>
            <a:endParaRPr lang="en-GB" sz="2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753068301247438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2092249180640176"/>
          <c:y val="8.0479040920219846E-2"/>
          <c:w val="0.87828122653810881"/>
          <c:h val="0.867056623696974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'CPU Usage (S+C)'!$A$16</c:f>
              <c:strCache>
                <c:ptCount val="1"/>
                <c:pt idx="0">
                  <c:v>Scheme Verification Mode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'CPU Usage (S+C)'!$J$2:$J$6</c:f>
                <c:numCache>
                  <c:formatCode>General</c:formatCode>
                  <c:ptCount val="5"/>
                  <c:pt idx="0">
                    <c:v>1.171875E-2</c:v>
                  </c:pt>
                  <c:pt idx="1">
                    <c:v>0.3984375</c:v>
                  </c:pt>
                  <c:pt idx="2">
                    <c:v>0.109375</c:v>
                  </c:pt>
                  <c:pt idx="3">
                    <c:v>0.1953125</c:v>
                  </c:pt>
                  <c:pt idx="4">
                    <c:v>0.10546875</c:v>
                  </c:pt>
                </c:numCache>
              </c:numRef>
            </c:plus>
            <c:minus>
              <c:numRef>
                <c:f>'CPU Usage (S+C)'!$I$2:$I$6</c:f>
                <c:numCache>
                  <c:formatCode>General</c:formatCode>
                  <c:ptCount val="5"/>
                  <c:pt idx="0">
                    <c:v>1.5625E-2</c:v>
                  </c:pt>
                  <c:pt idx="1">
                    <c:v>0.234375</c:v>
                  </c:pt>
                  <c:pt idx="2">
                    <c:v>0.1640625</c:v>
                  </c:pt>
                  <c:pt idx="3">
                    <c:v>0.234375</c:v>
                  </c:pt>
                  <c:pt idx="4">
                    <c:v>0.125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'CPU Usage (S+C)'!$A$2:$A$6</c:f>
              <c:strCache>
                <c:ptCount val="5"/>
                <c:pt idx="0">
                  <c:v>ECDSA</c:v>
                </c:pt>
                <c:pt idx="1">
                  <c:v>Dilithium</c:v>
                </c:pt>
                <c:pt idx="2">
                  <c:v>Falcon</c:v>
                </c:pt>
                <c:pt idx="3">
                  <c:v>ECDSA + Dilithium</c:v>
                </c:pt>
                <c:pt idx="4">
                  <c:v>ECDSA + Falcon</c:v>
                </c:pt>
              </c:strCache>
            </c:strRef>
          </c:cat>
          <c:val>
            <c:numRef>
              <c:f>'CPU Usage (S+C)'!$D$2:$D$6</c:f>
              <c:numCache>
                <c:formatCode>0.00</c:formatCode>
                <c:ptCount val="5"/>
                <c:pt idx="0">
                  <c:v>6.28125</c:v>
                </c:pt>
                <c:pt idx="1">
                  <c:v>30.5859375</c:v>
                </c:pt>
                <c:pt idx="2">
                  <c:v>24.2734375</c:v>
                </c:pt>
                <c:pt idx="3">
                  <c:v>37.0390625</c:v>
                </c:pt>
                <c:pt idx="4">
                  <c:v>31.8125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B7-403C-825D-55FFF2F13EEB}"/>
            </c:ext>
          </c:extLst>
        </c:ser>
        <c:ser>
          <c:idx val="1"/>
          <c:order val="1"/>
          <c:tx>
            <c:strRef>
              <c:f>'CPU Usage (S+C)'!$A$17</c:f>
              <c:strCache>
                <c:ptCount val="1"/>
                <c:pt idx="0">
                  <c:v>Block Commitment Mode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'CPU Usage (S+C)'!$J$7:$J$11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0.1328125</c:v>
                  </c:pt>
                  <c:pt idx="2">
                    <c:v>0.171875</c:v>
                  </c:pt>
                  <c:pt idx="3">
                    <c:v>0.1875</c:v>
                  </c:pt>
                  <c:pt idx="4">
                    <c:v>0.2734375</c:v>
                  </c:pt>
                </c:numCache>
              </c:numRef>
            </c:plus>
            <c:minus>
              <c:numRef>
                <c:f>'CPU Usage (S+C)'!$I$7:$I$11</c:f>
                <c:numCache>
                  <c:formatCode>General</c:formatCode>
                  <c:ptCount val="5"/>
                  <c:pt idx="0">
                    <c:v>1.171875E-2</c:v>
                  </c:pt>
                  <c:pt idx="1">
                    <c:v>0.15625</c:v>
                  </c:pt>
                  <c:pt idx="2">
                    <c:v>7.03125E-2</c:v>
                  </c:pt>
                  <c:pt idx="3">
                    <c:v>0.21484375</c:v>
                  </c:pt>
                  <c:pt idx="4">
                    <c:v>0.33203125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'CPU Usage (S+C)'!$A$2:$A$6</c:f>
              <c:strCache>
                <c:ptCount val="5"/>
                <c:pt idx="0">
                  <c:v>ECDSA</c:v>
                </c:pt>
                <c:pt idx="1">
                  <c:v>Dilithium</c:v>
                </c:pt>
                <c:pt idx="2">
                  <c:v>Falcon</c:v>
                </c:pt>
                <c:pt idx="3">
                  <c:v>ECDSA + Dilithium</c:v>
                </c:pt>
                <c:pt idx="4">
                  <c:v>ECDSA + Falcon</c:v>
                </c:pt>
              </c:strCache>
            </c:strRef>
          </c:cat>
          <c:val>
            <c:numRef>
              <c:f>'CPU Usage (S+C)'!$D$7:$D$11</c:f>
              <c:numCache>
                <c:formatCode>0.00</c:formatCode>
                <c:ptCount val="5"/>
                <c:pt idx="0">
                  <c:v>6.234375</c:v>
                </c:pt>
                <c:pt idx="1">
                  <c:v>30.8984375</c:v>
                </c:pt>
                <c:pt idx="2">
                  <c:v>24.09375</c:v>
                </c:pt>
                <c:pt idx="3">
                  <c:v>36.9375</c:v>
                </c:pt>
                <c:pt idx="4">
                  <c:v>30.984375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7-403C-825D-55FFF2F13E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overlap val="-20"/>
        <c:axId val="756977888"/>
        <c:axId val="756978848"/>
      </c:barChart>
      <c:catAx>
        <c:axId val="75697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978848"/>
        <c:crosses val="autoZero"/>
        <c:auto val="1"/>
        <c:lblAlgn val="ctr"/>
        <c:lblOffset val="100"/>
        <c:noMultiLvlLbl val="0"/>
      </c:catAx>
      <c:valAx>
        <c:axId val="7569788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 i="0" u="none" strike="noStrike" kern="1200" baseline="0">
                    <a:solidFill>
                      <a:schemeClr val="tx1"/>
                    </a:solidFill>
                  </a:rPr>
                  <a:t>Time (s)</a:t>
                </a:r>
              </a:p>
            </c:rich>
          </c:tx>
          <c:layout>
            <c:manualLayout>
              <c:xMode val="edge"/>
              <c:yMode val="edge"/>
              <c:x val="1.0510418090173033E-2"/>
              <c:y val="0.370163990496543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97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90704825601987"/>
          <c:y val="2.0035832511856092E-2"/>
          <c:w val="0.21409293762229648"/>
          <c:h val="8.1705035458845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 i="0" u="none" strike="noStrike" baseline="0">
                <a:solidFill>
                  <a:schemeClr val="tx1"/>
                </a:solidFill>
              </a:rPr>
              <a:t>Crypto-only Throughput (tx/s) - </a:t>
            </a:r>
            <a:r>
              <a:rPr lang="en-GB" sz="2000" b="1" i="0" u="none" strike="noStrike" kern="1200" spc="0" baseline="0">
                <a:solidFill>
                  <a:schemeClr val="tx1"/>
                </a:solidFill>
              </a:rPr>
              <a:t>Scheme Verification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65308551032993"/>
          <c:y val="0.1043317834988924"/>
          <c:w val="0.8553659579953734"/>
          <c:h val="0.841362941830692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'Block Commitment time (S+C)'!$D$1</c:f>
              <c:strCache>
                <c:ptCount val="1"/>
                <c:pt idx="0">
                  <c:v>Median (μs)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0730761169729731E-3"/>
                  <c:y val="0.184975262113209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023-43C0-B827-0A86FF2D9965}"/>
                </c:ext>
              </c:extLst>
            </c:dLbl>
            <c:dLbl>
              <c:idx val="1"/>
              <c:layout>
                <c:manualLayout>
                  <c:x val="5.4520130073924973E-4"/>
                  <c:y val="9.65585997746378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23-43C0-B827-0A86FF2D9965}"/>
                </c:ext>
              </c:extLst>
            </c:dLbl>
            <c:dLbl>
              <c:idx val="2"/>
              <c:layout>
                <c:manualLayout>
                  <c:x val="-4.8117810393824047E-4"/>
                  <c:y val="0.133854661810167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023-43C0-B827-0A86FF2D9965}"/>
                </c:ext>
              </c:extLst>
            </c:dLbl>
            <c:dLbl>
              <c:idx val="3"/>
              <c:layout>
                <c:manualLayout>
                  <c:x val="-1.9887957744154409E-3"/>
                  <c:y val="7.980424213547464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23-43C0-B827-0A86FF2D9965}"/>
                </c:ext>
              </c:extLst>
            </c:dLbl>
            <c:dLbl>
              <c:idx val="4"/>
              <c:layout>
                <c:manualLayout>
                  <c:x val="-6.1693620004092019E-5"/>
                  <c:y val="9.806172842293985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023-43C0-B827-0A86FF2D99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'Block Commitment time (S+C)'!$J:$J</c:f>
                <c:numCache>
                  <c:formatCode>General</c:formatCode>
                  <c:ptCount val="1048576"/>
                  <c:pt idx="0">
                    <c:v>0</c:v>
                  </c:pt>
                  <c:pt idx="1">
                    <c:v>0.28743050000000636</c:v>
                  </c:pt>
                  <c:pt idx="2">
                    <c:v>0.41279575000000079</c:v>
                  </c:pt>
                  <c:pt idx="3">
                    <c:v>0.16876774999999355</c:v>
                  </c:pt>
                  <c:pt idx="4">
                    <c:v>0.13650375000001702</c:v>
                  </c:pt>
                  <c:pt idx="5">
                    <c:v>0.38113250000000676</c:v>
                  </c:pt>
                  <c:pt idx="6">
                    <c:v>5.7530000000000081E-3</c:v>
                  </c:pt>
                  <c:pt idx="7">
                    <c:v>3.4254999999999702E-3</c:v>
                  </c:pt>
                  <c:pt idx="8">
                    <c:v>3.6039999999999961E-3</c:v>
                  </c:pt>
                  <c:pt idx="9">
                    <c:v>2.5275000000000158E-3</c:v>
                  </c:pt>
                  <c:pt idx="10">
                    <c:v>2.2424999999999806E-3</c:v>
                  </c:pt>
                  <c:pt idx="22">
                    <c:v>0</c:v>
                  </c:pt>
                  <c:pt idx="31">
                    <c:v>3.3633038000000002</c:v>
                  </c:pt>
                  <c:pt idx="32">
                    <c:v>5.5653636000000004</c:v>
                  </c:pt>
                  <c:pt idx="33">
                    <c:v>2.9116726000000002</c:v>
                  </c:pt>
                  <c:pt idx="34">
                    <c:v>8.9829320999999993</c:v>
                  </c:pt>
                  <c:pt idx="35">
                    <c:v>6.4073523999999997</c:v>
                  </c:pt>
                  <c:pt idx="45">
                    <c:v>3.6774099999999997E-2</c:v>
                  </c:pt>
                  <c:pt idx="46">
                    <c:v>4.2536900000000002E-2</c:v>
                  </c:pt>
                  <c:pt idx="47">
                    <c:v>3.6428000000000002E-2</c:v>
                  </c:pt>
                  <c:pt idx="48">
                    <c:v>3.9434299999999999E-2</c:v>
                  </c:pt>
                  <c:pt idx="49">
                    <c:v>3.8774299999999998E-2</c:v>
                  </c:pt>
                </c:numCache>
              </c:numRef>
            </c:plus>
            <c:minus>
              <c:numRef>
                <c:f>'Block Commitment time (S+C)'!$I:$I</c:f>
                <c:numCache>
                  <c:formatCode>General</c:formatCode>
                  <c:ptCount val="1048576"/>
                  <c:pt idx="0">
                    <c:v>0</c:v>
                  </c:pt>
                  <c:pt idx="1">
                    <c:v>8.2825749999997811E-2</c:v>
                  </c:pt>
                  <c:pt idx="2">
                    <c:v>0.2805800000000005</c:v>
                  </c:pt>
                  <c:pt idx="3">
                    <c:v>0.14108274999999892</c:v>
                  </c:pt>
                  <c:pt idx="4">
                    <c:v>0.58846875000000409</c:v>
                  </c:pt>
                  <c:pt idx="5">
                    <c:v>0.49355599999999811</c:v>
                  </c:pt>
                  <c:pt idx="6">
                    <c:v>6.2955000000000094E-3</c:v>
                  </c:pt>
                  <c:pt idx="7">
                    <c:v>2.1660000000000013E-3</c:v>
                  </c:pt>
                  <c:pt idx="8">
                    <c:v>2.7777499999999677E-3</c:v>
                  </c:pt>
                  <c:pt idx="9">
                    <c:v>2.1177500000000848E-3</c:v>
                  </c:pt>
                  <c:pt idx="10">
                    <c:v>4.751749999999999E-3</c:v>
                  </c:pt>
                  <c:pt idx="22">
                    <c:v>0</c:v>
                  </c:pt>
                  <c:pt idx="31">
                    <c:v>3.2576136999999998</c:v>
                  </c:pt>
                  <c:pt idx="32">
                    <c:v>5.4180207999999999</c:v>
                  </c:pt>
                  <c:pt idx="33">
                    <c:v>2.8399708000000001</c:v>
                  </c:pt>
                  <c:pt idx="34">
                    <c:v>8.8081595999999998</c:v>
                  </c:pt>
                  <c:pt idx="35">
                    <c:v>6.1756013000000003</c:v>
                  </c:pt>
                  <c:pt idx="45">
                    <c:v>3.4515999999999998E-2</c:v>
                  </c:pt>
                  <c:pt idx="46">
                    <c:v>3.6513799999999999E-2</c:v>
                  </c:pt>
                  <c:pt idx="47">
                    <c:v>3.4708700000000002E-2</c:v>
                  </c:pt>
                  <c:pt idx="48">
                    <c:v>3.7051000000000001E-2</c:v>
                  </c:pt>
                  <c:pt idx="49">
                    <c:v>3.6558599999999997E-2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'Block Commitment time (S+C)'!$A$2:$A$11</c:f>
              <c:strCache>
                <c:ptCount val="5"/>
                <c:pt idx="0">
                  <c:v>ECDSA</c:v>
                </c:pt>
                <c:pt idx="1">
                  <c:v>Dilithium</c:v>
                </c:pt>
                <c:pt idx="2">
                  <c:v>Falcon</c:v>
                </c:pt>
                <c:pt idx="3">
                  <c:v>ECDSA + Dilithium</c:v>
                </c:pt>
                <c:pt idx="4">
                  <c:v>ECDSA + Falcon</c:v>
                </c:pt>
              </c:strCache>
            </c:strRef>
          </c:cat>
          <c:val>
            <c:numRef>
              <c:f>'Block Commitment time (S+C)'!$D$2:$D$11</c:f>
              <c:numCache>
                <c:formatCode>0.00</c:formatCode>
                <c:ptCount val="10"/>
                <c:pt idx="0">
                  <c:v>33.214481999999997</c:v>
                </c:pt>
                <c:pt idx="1">
                  <c:v>54.9256855</c:v>
                </c:pt>
                <c:pt idx="2">
                  <c:v>28.693252000000001</c:v>
                </c:pt>
                <c:pt idx="3">
                  <c:v>89.2537995</c:v>
                </c:pt>
                <c:pt idx="4">
                  <c:v>63.514838999999995</c:v>
                </c:pt>
                <c:pt idx="5">
                  <c:v>0.35435700000000003</c:v>
                </c:pt>
                <c:pt idx="6">
                  <c:v>0.38442350000000003</c:v>
                </c:pt>
                <c:pt idx="7">
                  <c:v>0.35897000000000001</c:v>
                </c:pt>
                <c:pt idx="8">
                  <c:v>0.38653950000000004</c:v>
                </c:pt>
                <c:pt idx="9">
                  <c:v>0.37812750000000001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23-43C0-B827-0A86FF2D9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1182239808"/>
        <c:axId val="1182266688"/>
      </c:barChart>
      <c:catAx>
        <c:axId val="118223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66688"/>
        <c:crosses val="autoZero"/>
        <c:auto val="1"/>
        <c:lblAlgn val="ctr"/>
        <c:lblOffset val="100"/>
        <c:noMultiLvlLbl val="0"/>
      </c:catAx>
      <c:valAx>
        <c:axId val="11822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>
                    <a:solidFill>
                      <a:schemeClr val="tx1"/>
                    </a:solidFill>
                  </a:rPr>
                  <a:t>Transactions</a:t>
                </a:r>
                <a:r>
                  <a:rPr lang="en-GB" sz="2000" b="1" baseline="0">
                    <a:solidFill>
                      <a:schemeClr val="tx1"/>
                    </a:solidFill>
                  </a:rPr>
                  <a:t> per Second</a:t>
                </a:r>
                <a:endParaRPr lang="en-GB" sz="20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3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 i="0" u="none" strike="noStrike" baseline="0">
                <a:solidFill>
                  <a:sysClr val="windowText" lastClr="000000"/>
                </a:solidFill>
              </a:rPr>
              <a:t>Median Block Commitment Time (</a:t>
            </a:r>
            <a:r>
              <a:rPr lang="el-GR" sz="2000" b="1" i="0" u="none" strike="noStrike" kern="1200" spc="0" baseline="0">
                <a:solidFill>
                  <a:schemeClr val="tx1"/>
                </a:solidFill>
              </a:rPr>
              <a:t>μ</a:t>
            </a:r>
            <a:r>
              <a:rPr lang="en-GB" sz="2000" b="1" i="0" u="none" strike="noStrike" kern="1200" spc="0" baseline="0">
                <a:solidFill>
                  <a:schemeClr val="tx1"/>
                </a:solidFill>
              </a:rPr>
              <a:t>s</a:t>
            </a:r>
            <a:r>
              <a:rPr lang="en-GB" sz="2000" b="1" i="0" u="none" strike="noStrike" baseline="0">
                <a:solidFill>
                  <a:sysClr val="windowText" lastClr="000000"/>
                </a:solidFill>
              </a:rPr>
              <a:t>)</a:t>
            </a:r>
            <a:endParaRPr lang="en-GB" sz="2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753068301247438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2092249180640176"/>
          <c:y val="8.0479040920219846E-2"/>
          <c:w val="0.87828122653810881"/>
          <c:h val="0.8670566236969744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'Block Commitment time (S+C)'!$A$42</c:f>
              <c:strCache>
                <c:ptCount val="1"/>
                <c:pt idx="0">
                  <c:v>Scheme Verification Mode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'Block Commitment time (S+C)'!$J$7:$J$11</c:f>
                <c:numCache>
                  <c:formatCode>General</c:formatCode>
                  <c:ptCount val="5"/>
                  <c:pt idx="0">
                    <c:v>5.7530000000000081E-3</c:v>
                  </c:pt>
                  <c:pt idx="1">
                    <c:v>3.4254999999999702E-3</c:v>
                  </c:pt>
                  <c:pt idx="2">
                    <c:v>3.6039999999999961E-3</c:v>
                  </c:pt>
                  <c:pt idx="3">
                    <c:v>2.5275000000000158E-3</c:v>
                  </c:pt>
                  <c:pt idx="4">
                    <c:v>2.2424999999999806E-3</c:v>
                  </c:pt>
                </c:numCache>
              </c:numRef>
            </c:plus>
            <c:minus>
              <c:numRef>
                <c:f>'Block Commitment time (S+C)'!$I$7:$I$11</c:f>
                <c:numCache>
                  <c:formatCode>General</c:formatCode>
                  <c:ptCount val="5"/>
                  <c:pt idx="0">
                    <c:v>6.2955000000000094E-3</c:v>
                  </c:pt>
                  <c:pt idx="1">
                    <c:v>2.1660000000000013E-3</c:v>
                  </c:pt>
                  <c:pt idx="2">
                    <c:v>2.7777499999999677E-3</c:v>
                  </c:pt>
                  <c:pt idx="3">
                    <c:v>2.1177500000000848E-3</c:v>
                  </c:pt>
                  <c:pt idx="4">
                    <c:v>4.751749999999999E-3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'Block Commitment time (S+C)'!$A$2:$A$6</c:f>
              <c:strCache>
                <c:ptCount val="5"/>
                <c:pt idx="0">
                  <c:v>ECDSA</c:v>
                </c:pt>
                <c:pt idx="1">
                  <c:v>Dilithium</c:v>
                </c:pt>
                <c:pt idx="2">
                  <c:v>Falcon</c:v>
                </c:pt>
                <c:pt idx="3">
                  <c:v>ECDSA + Dilithium</c:v>
                </c:pt>
                <c:pt idx="4">
                  <c:v>ECDSA + Falcon</c:v>
                </c:pt>
              </c:strCache>
            </c:strRef>
          </c:cat>
          <c:val>
            <c:numRef>
              <c:f>'Block Commitment time (S+C)'!$D$7:$D$11</c:f>
              <c:numCache>
                <c:formatCode>0.00</c:formatCode>
                <c:ptCount val="5"/>
                <c:pt idx="0">
                  <c:v>0.35435700000000003</c:v>
                </c:pt>
                <c:pt idx="1">
                  <c:v>0.38442350000000003</c:v>
                </c:pt>
                <c:pt idx="2">
                  <c:v>0.35897000000000001</c:v>
                </c:pt>
                <c:pt idx="3">
                  <c:v>0.38653950000000004</c:v>
                </c:pt>
                <c:pt idx="4">
                  <c:v>0.37812750000000001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38-466C-841A-46176D79DF44}"/>
            </c:ext>
          </c:extLst>
        </c:ser>
        <c:ser>
          <c:idx val="0"/>
          <c:order val="1"/>
          <c:tx>
            <c:strRef>
              <c:f>'Block Commitment time (S+C)'!$A$43</c:f>
              <c:strCache>
                <c:ptCount val="1"/>
                <c:pt idx="0">
                  <c:v>Block Commitment Mode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'Block Commitment time (S+C)'!$J$2:$J$6</c:f>
                <c:numCache>
                  <c:formatCode>General</c:formatCode>
                  <c:ptCount val="5"/>
                  <c:pt idx="0">
                    <c:v>0.28743050000000636</c:v>
                  </c:pt>
                  <c:pt idx="1">
                    <c:v>0.41279575000000079</c:v>
                  </c:pt>
                  <c:pt idx="2">
                    <c:v>0.16876774999999355</c:v>
                  </c:pt>
                  <c:pt idx="3">
                    <c:v>0.13650375000001702</c:v>
                  </c:pt>
                  <c:pt idx="4">
                    <c:v>0.38113250000000676</c:v>
                  </c:pt>
                </c:numCache>
              </c:numRef>
            </c:plus>
            <c:minus>
              <c:numRef>
                <c:f>'Block Commitment time (S+C)'!$I$2:$I$6</c:f>
                <c:numCache>
                  <c:formatCode>General</c:formatCode>
                  <c:ptCount val="5"/>
                  <c:pt idx="0">
                    <c:v>8.2825749999997811E-2</c:v>
                  </c:pt>
                  <c:pt idx="1">
                    <c:v>0.2805800000000005</c:v>
                  </c:pt>
                  <c:pt idx="2">
                    <c:v>0.14108274999999892</c:v>
                  </c:pt>
                  <c:pt idx="3">
                    <c:v>0.58846875000000409</c:v>
                  </c:pt>
                  <c:pt idx="4">
                    <c:v>0.49355599999999811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'Block Commitment time (S+C)'!$A$2:$A$6</c:f>
              <c:strCache>
                <c:ptCount val="5"/>
                <c:pt idx="0">
                  <c:v>ECDSA</c:v>
                </c:pt>
                <c:pt idx="1">
                  <c:v>Dilithium</c:v>
                </c:pt>
                <c:pt idx="2">
                  <c:v>Falcon</c:v>
                </c:pt>
                <c:pt idx="3">
                  <c:v>ECDSA + Dilithium</c:v>
                </c:pt>
                <c:pt idx="4">
                  <c:v>ECDSA + Falcon</c:v>
                </c:pt>
              </c:strCache>
            </c:strRef>
          </c:cat>
          <c:val>
            <c:numRef>
              <c:f>'Block Commitment time (S+C)'!$D$2:$D$6</c:f>
              <c:numCache>
                <c:formatCode>0.00</c:formatCode>
                <c:ptCount val="5"/>
                <c:pt idx="0">
                  <c:v>33.214481999999997</c:v>
                </c:pt>
                <c:pt idx="1">
                  <c:v>54.9256855</c:v>
                </c:pt>
                <c:pt idx="2">
                  <c:v>28.693252000000001</c:v>
                </c:pt>
                <c:pt idx="3">
                  <c:v>89.2537995</c:v>
                </c:pt>
                <c:pt idx="4">
                  <c:v>63.514838999999995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8-466C-841A-46176D79DF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overlap val="-20"/>
        <c:axId val="756977888"/>
        <c:axId val="756978848"/>
      </c:barChart>
      <c:catAx>
        <c:axId val="75697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978848"/>
        <c:crosses val="autoZero"/>
        <c:auto val="1"/>
        <c:lblAlgn val="ctr"/>
        <c:lblOffset val="100"/>
        <c:noMultiLvlLbl val="0"/>
      </c:catAx>
      <c:valAx>
        <c:axId val="7569788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 i="0" u="none" strike="noStrike" kern="1200" baseline="0">
                    <a:solidFill>
                      <a:schemeClr val="tx1"/>
                    </a:solidFill>
                  </a:rPr>
                  <a:t>Time (</a:t>
                </a:r>
                <a:r>
                  <a:rPr lang="el-GR" sz="2000" b="1" i="0" u="none" strike="noStrike" kern="1200" baseline="0">
                    <a:solidFill>
                      <a:schemeClr val="tx1"/>
                    </a:solidFill>
                  </a:rPr>
                  <a:t>μ</a:t>
                </a:r>
                <a:r>
                  <a:rPr lang="en-GB" sz="2000" b="1" i="0" u="none" strike="noStrike" kern="1200" baseline="0">
                    <a:solidFill>
                      <a:schemeClr val="tx1"/>
                    </a:solidFill>
                  </a:rPr>
                  <a:t>s)</a:t>
                </a:r>
              </a:p>
            </c:rich>
          </c:tx>
          <c:layout>
            <c:manualLayout>
              <c:xMode val="edge"/>
              <c:yMode val="edge"/>
              <c:x val="3.9224592955036809E-2"/>
              <c:y val="0.37016396415617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97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90706237770347"/>
          <c:y val="3.8998332928897657E-2"/>
          <c:w val="0.21409293762229648"/>
          <c:h val="8.1705035458845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 i="0" u="none" strike="noStrike" baseline="0">
                <a:solidFill>
                  <a:sysClr val="windowText" lastClr="000000"/>
                </a:solidFill>
              </a:rPr>
              <a:t>Median Memory Usage (MB)</a:t>
            </a:r>
            <a:endParaRPr lang="en-GB" sz="2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753068301247438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2092249180640176"/>
          <c:y val="8.0479040920219846E-2"/>
          <c:w val="0.87828122653810881"/>
          <c:h val="0.867056623696974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'Memory Usage (S+C)'!$A$16</c:f>
              <c:strCache>
                <c:ptCount val="1"/>
                <c:pt idx="0">
                  <c:v>Scheme Verification Mode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'Memory Usage (S+C)'!$J$2:$J$6</c:f>
                <c:numCache>
                  <c:formatCode>General</c:formatCode>
                  <c:ptCount val="5"/>
                  <c:pt idx="0">
                    <c:v>0.50278400000001966</c:v>
                  </c:pt>
                  <c:pt idx="1">
                    <c:v>0.1935359999999946</c:v>
                  </c:pt>
                  <c:pt idx="2">
                    <c:v>0.24268799999998691</c:v>
                  </c:pt>
                  <c:pt idx="3">
                    <c:v>0.32870399999998767</c:v>
                  </c:pt>
                  <c:pt idx="4">
                    <c:v>0.31334400000000073</c:v>
                  </c:pt>
                </c:numCache>
              </c:numRef>
            </c:plus>
            <c:minus>
              <c:numRef>
                <c:f>'Memory Usage (S+C)'!$I$2:$I$6</c:f>
                <c:numCache>
                  <c:formatCode>General</c:formatCode>
                  <c:ptCount val="5"/>
                  <c:pt idx="0">
                    <c:v>0.21811199999996234</c:v>
                  </c:pt>
                  <c:pt idx="1">
                    <c:v>0.30310400000001891</c:v>
                  </c:pt>
                  <c:pt idx="2">
                    <c:v>0.15052800000000843</c:v>
                  </c:pt>
                  <c:pt idx="3">
                    <c:v>0.30617600000002199</c:v>
                  </c:pt>
                  <c:pt idx="4">
                    <c:v>0.16998399999999947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'Memory Usage (S+C)'!$A$2:$A$6</c:f>
              <c:strCache>
                <c:ptCount val="5"/>
                <c:pt idx="0">
                  <c:v>ECDSA</c:v>
                </c:pt>
                <c:pt idx="1">
                  <c:v>Dilithium</c:v>
                </c:pt>
                <c:pt idx="2">
                  <c:v>Falcon</c:v>
                </c:pt>
                <c:pt idx="3">
                  <c:v>ECDSA + Dilithium</c:v>
                </c:pt>
                <c:pt idx="4">
                  <c:v>ECDSA + Falcon</c:v>
                </c:pt>
              </c:strCache>
            </c:strRef>
          </c:cat>
          <c:val>
            <c:numRef>
              <c:f>'Memory Usage (S+C)'!$D$2:$D$6</c:f>
              <c:numCache>
                <c:formatCode>0.00</c:formatCode>
                <c:ptCount val="5"/>
                <c:pt idx="0">
                  <c:v>395.85382399999997</c:v>
                </c:pt>
                <c:pt idx="1">
                  <c:v>429.35091199999999</c:v>
                </c:pt>
                <c:pt idx="2">
                  <c:v>239.52793600000001</c:v>
                </c:pt>
                <c:pt idx="3">
                  <c:v>136.96614400000001</c:v>
                </c:pt>
                <c:pt idx="4">
                  <c:v>205.93254400000001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8B-4CC4-93A6-178A0C9209C6}"/>
            </c:ext>
          </c:extLst>
        </c:ser>
        <c:ser>
          <c:idx val="1"/>
          <c:order val="1"/>
          <c:tx>
            <c:strRef>
              <c:f>'Memory Usage (S+C)'!$A$17</c:f>
              <c:strCache>
                <c:ptCount val="1"/>
                <c:pt idx="0">
                  <c:v>Block Commitment Mode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'Memory Usage (S+C)'!$J$7:$J$11</c:f>
                <c:numCache>
                  <c:formatCode>General</c:formatCode>
                  <c:ptCount val="5"/>
                  <c:pt idx="0">
                    <c:v>0.21094399999998359</c:v>
                  </c:pt>
                  <c:pt idx="1">
                    <c:v>0.56627199999999789</c:v>
                  </c:pt>
                  <c:pt idx="2">
                    <c:v>0.5754880000000071</c:v>
                  </c:pt>
                  <c:pt idx="3">
                    <c:v>0.29081600000000662</c:v>
                  </c:pt>
                  <c:pt idx="4">
                    <c:v>0.43110400000000482</c:v>
                  </c:pt>
                </c:numCache>
              </c:numRef>
            </c:plus>
            <c:minus>
              <c:numRef>
                <c:f>'Memory Usage (S+C)'!$I$7:$I$11</c:f>
                <c:numCache>
                  <c:formatCode>General</c:formatCode>
                  <c:ptCount val="5"/>
                  <c:pt idx="0">
                    <c:v>0.7782399999999825</c:v>
                  </c:pt>
                  <c:pt idx="1">
                    <c:v>0.10444800000001919</c:v>
                  </c:pt>
                  <c:pt idx="2">
                    <c:v>0.39833599999997205</c:v>
                  </c:pt>
                  <c:pt idx="3">
                    <c:v>0.16076799999999025</c:v>
                  </c:pt>
                  <c:pt idx="4">
                    <c:v>0.27135999999998717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'Memory Usage (S+C)'!$A$2:$A$6</c:f>
              <c:strCache>
                <c:ptCount val="5"/>
                <c:pt idx="0">
                  <c:v>ECDSA</c:v>
                </c:pt>
                <c:pt idx="1">
                  <c:v>Dilithium</c:v>
                </c:pt>
                <c:pt idx="2">
                  <c:v>Falcon</c:v>
                </c:pt>
                <c:pt idx="3">
                  <c:v>ECDSA + Dilithium</c:v>
                </c:pt>
                <c:pt idx="4">
                  <c:v>ECDSA + Falcon</c:v>
                </c:pt>
              </c:strCache>
            </c:strRef>
          </c:cat>
          <c:val>
            <c:numRef>
              <c:f>'Memory Usage (S+C)'!$D$7:$D$11</c:f>
              <c:numCache>
                <c:formatCode>0.00</c:formatCode>
                <c:ptCount val="5"/>
                <c:pt idx="0">
                  <c:v>390.027264</c:v>
                </c:pt>
                <c:pt idx="1">
                  <c:v>130.19955200000001</c:v>
                </c:pt>
                <c:pt idx="2">
                  <c:v>419.74169599999999</c:v>
                </c:pt>
                <c:pt idx="3">
                  <c:v>230.16448</c:v>
                </c:pt>
                <c:pt idx="4">
                  <c:v>199.80492799999999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B-4CC4-93A6-178A0C9209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overlap val="-20"/>
        <c:axId val="756977888"/>
        <c:axId val="756978848"/>
      </c:barChart>
      <c:catAx>
        <c:axId val="75697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978848"/>
        <c:crosses val="autoZero"/>
        <c:auto val="1"/>
        <c:lblAlgn val="ctr"/>
        <c:lblOffset val="100"/>
        <c:noMultiLvlLbl val="0"/>
      </c:catAx>
      <c:valAx>
        <c:axId val="7569788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 i="0" u="none" strike="noStrike" kern="1200" baseline="0">
                    <a:solidFill>
                      <a:schemeClr val="tx1"/>
                    </a:solidFill>
                  </a:rPr>
                  <a:t>Memory Usage (MB)</a:t>
                </a:r>
              </a:p>
            </c:rich>
          </c:tx>
          <c:layout>
            <c:manualLayout>
              <c:xMode val="edge"/>
              <c:yMode val="edge"/>
              <c:x val="1.0510418090173033E-2"/>
              <c:y val="0.370163990496543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97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90704825601987"/>
          <c:y val="2.0035832511856092E-2"/>
          <c:w val="0.21409293762229648"/>
          <c:h val="8.1705035458845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 i="0" u="none" strike="noStrike" baseline="0">
                <a:solidFill>
                  <a:schemeClr val="tx1"/>
                </a:solidFill>
              </a:rPr>
              <a:t>Median Signature Size per </a:t>
            </a:r>
            <a:r>
              <a:rPr lang="en-GB" sz="2000" b="1" i="0" u="none" strike="noStrike" kern="1200" spc="0" baseline="0">
                <a:solidFill>
                  <a:schemeClr val="tx1"/>
                </a:solidFill>
              </a:rPr>
              <a:t>Signature Scheme</a:t>
            </a:r>
            <a:r>
              <a:rPr lang="en-GB" sz="2000" b="1" i="0" u="none" strike="noStrike" baseline="0">
                <a:solidFill>
                  <a:schemeClr val="tx1"/>
                </a:solidFill>
              </a:rPr>
              <a:t> (Bytes)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25845080708196"/>
          <c:y val="0.1043317834988924"/>
          <c:w val="0.89053159537966042"/>
          <c:h val="0.841362941830692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'Signature Size (MEdian for Falc'!$D$1</c:f>
              <c:strCache>
                <c:ptCount val="1"/>
                <c:pt idx="0">
                  <c:v>Median (μs)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4951977075204912E-3"/>
                  <c:y val="0.3130414345678339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5CE-4409-9BF5-C6614F555265}"/>
                </c:ext>
              </c:extLst>
            </c:dLbl>
            <c:dLbl>
              <c:idx val="2"/>
              <c:layout>
                <c:manualLayout>
                  <c:x val="-1.4994053418120943E-3"/>
                  <c:y val="0.1596651635003826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CE-4409-9BF5-C6614F555265}"/>
                </c:ext>
              </c:extLst>
            </c:dLbl>
            <c:dLbl>
              <c:idx val="3"/>
              <c:layout>
                <c:manualLayout>
                  <c:x val="-2.9988657439684132E-3"/>
                  <c:y val="0.3858417681882604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CE-4409-9BF5-C6614F555265}"/>
                </c:ext>
              </c:extLst>
            </c:dLbl>
            <c:dLbl>
              <c:idx val="4"/>
              <c:layout>
                <c:manualLayout>
                  <c:x val="-4.2466451503312381E-5"/>
                  <c:y val="0.1317304326815597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5CE-4409-9BF5-C6614F555265}"/>
                </c:ext>
              </c:extLst>
            </c:dLbl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'Signature Size (MEdian for Falc'!$J$6</c:f>
                <c:numCache>
                  <c:formatCode>General</c:formatCode>
                  <c:ptCount val="1"/>
                  <c:pt idx="0">
                    <c:v>1.25</c:v>
                  </c:pt>
                </c:numCache>
              </c:numRef>
            </c:plus>
            <c:minus>
              <c:numRef>
                <c:f>'Signature Size (MEdian for Falc'!$I$6</c:f>
                <c:numCache>
                  <c:formatCode>General</c:formatCode>
                  <c:ptCount val="1"/>
                  <c:pt idx="0">
                    <c:v>2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'Signature Size (MEdian for Falc'!$A$2:$A$6</c:f>
              <c:strCache>
                <c:ptCount val="5"/>
                <c:pt idx="0">
                  <c:v>ECDSA</c:v>
                </c:pt>
                <c:pt idx="1">
                  <c:v>Dilithium</c:v>
                </c:pt>
                <c:pt idx="2">
                  <c:v>Falcon</c:v>
                </c:pt>
                <c:pt idx="3">
                  <c:v>ECDSA + Dilithium</c:v>
                </c:pt>
                <c:pt idx="4">
                  <c:v>ECDSA + Falcon</c:v>
                </c:pt>
              </c:strCache>
            </c:strRef>
          </c:cat>
          <c:val>
            <c:numRef>
              <c:f>'Signature Size (MEdian for Falc'!$D$2:$D$6</c:f>
              <c:numCache>
                <c:formatCode>0.00</c:formatCode>
                <c:ptCount val="5"/>
                <c:pt idx="0">
                  <c:v>71</c:v>
                </c:pt>
                <c:pt idx="1">
                  <c:v>2420</c:v>
                </c:pt>
                <c:pt idx="2">
                  <c:v>655</c:v>
                </c:pt>
                <c:pt idx="3">
                  <c:v>2491</c:v>
                </c:pt>
                <c:pt idx="4">
                  <c:v>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CE-4409-9BF5-C6614F555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1182239808"/>
        <c:axId val="1182266688"/>
      </c:barChart>
      <c:catAx>
        <c:axId val="118223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66688"/>
        <c:crosses val="autoZero"/>
        <c:auto val="1"/>
        <c:lblAlgn val="ctr"/>
        <c:lblOffset val="100"/>
        <c:noMultiLvlLbl val="0"/>
      </c:catAx>
      <c:valAx>
        <c:axId val="11822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>
                    <a:solidFill>
                      <a:schemeClr val="tx1"/>
                    </a:solidFill>
                  </a:rPr>
                  <a:t>Signature Size (Bytes)</a:t>
                </a:r>
              </a:p>
            </c:rich>
          </c:tx>
          <c:layout>
            <c:manualLayout>
              <c:xMode val="edge"/>
              <c:yMode val="edge"/>
              <c:x val="1.4690705516598266E-2"/>
              <c:y val="0.380607122614560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3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 i="0" u="none" strike="noStrike" baseline="0">
                <a:solidFill>
                  <a:schemeClr val="tx1"/>
                </a:solidFill>
              </a:rPr>
              <a:t>Public Key Size per Signature Scheme (Bytes)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25845080708196"/>
          <c:y val="0.1043317834988924"/>
          <c:w val="0.89053159537966042"/>
          <c:h val="0.841362941830692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'Public Key Size'!$D$1</c:f>
              <c:strCache>
                <c:ptCount val="1"/>
                <c:pt idx="0">
                  <c:v>Median (μs)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4951977075204912E-3"/>
                  <c:y val="0.3130414345678339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EF-42FB-988E-090AFA3CE3A4}"/>
                </c:ext>
              </c:extLst>
            </c:dLbl>
            <c:dLbl>
              <c:idx val="2"/>
              <c:layout>
                <c:manualLayout>
                  <c:x val="-1.4994053418120943E-3"/>
                  <c:y val="0.1596651635003826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EF-42FB-988E-090AFA3CE3A4}"/>
                </c:ext>
              </c:extLst>
            </c:dLbl>
            <c:dLbl>
              <c:idx val="3"/>
              <c:layout>
                <c:manualLayout>
                  <c:x val="-2.9988657439684132E-3"/>
                  <c:y val="0.3858417681882604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EF-42FB-988E-090AFA3CE3A4}"/>
                </c:ext>
              </c:extLst>
            </c:dLbl>
            <c:dLbl>
              <c:idx val="4"/>
              <c:layout>
                <c:manualLayout>
                  <c:x val="-4.2466451503312381E-5"/>
                  <c:y val="0.1317304326815597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EF-42FB-988E-090AFA3CE3A4}"/>
                </c:ext>
              </c:extLst>
            </c:dLbl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'Public Key Size'!$A$2:$A$6</c:f>
              <c:strCache>
                <c:ptCount val="5"/>
                <c:pt idx="0">
                  <c:v>ECDSA</c:v>
                </c:pt>
                <c:pt idx="1">
                  <c:v>Dilithium</c:v>
                </c:pt>
                <c:pt idx="2">
                  <c:v>Falcon</c:v>
                </c:pt>
                <c:pt idx="3">
                  <c:v>ECDSA + Dilithium</c:v>
                </c:pt>
                <c:pt idx="4">
                  <c:v>ECDSA + Falcon</c:v>
                </c:pt>
              </c:strCache>
            </c:strRef>
          </c:cat>
          <c:val>
            <c:numRef>
              <c:f>'Public Key Size'!$D$2:$D$6</c:f>
              <c:numCache>
                <c:formatCode>0.00</c:formatCode>
                <c:ptCount val="5"/>
                <c:pt idx="0">
                  <c:v>33</c:v>
                </c:pt>
                <c:pt idx="1">
                  <c:v>1312</c:v>
                </c:pt>
                <c:pt idx="2">
                  <c:v>897</c:v>
                </c:pt>
                <c:pt idx="3">
                  <c:v>2491</c:v>
                </c:pt>
                <c:pt idx="4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EF-42FB-988E-090AFA3CE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1182239808"/>
        <c:axId val="1182266688"/>
      </c:barChart>
      <c:catAx>
        <c:axId val="118223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66688"/>
        <c:crosses val="autoZero"/>
        <c:auto val="1"/>
        <c:lblAlgn val="ctr"/>
        <c:lblOffset val="100"/>
        <c:noMultiLvlLbl val="0"/>
      </c:catAx>
      <c:valAx>
        <c:axId val="11822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>
                    <a:solidFill>
                      <a:schemeClr val="tx1"/>
                    </a:solidFill>
                  </a:rPr>
                  <a:t>Public Key Size (Bytes)</a:t>
                </a:r>
              </a:p>
            </c:rich>
          </c:tx>
          <c:layout>
            <c:manualLayout>
              <c:xMode val="edge"/>
              <c:yMode val="edge"/>
              <c:x val="1.4690705516598266E-2"/>
              <c:y val="0.380607122614560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3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 i="0" u="none" strike="noStrike" baseline="0">
                <a:solidFill>
                  <a:schemeClr val="tx1"/>
                </a:solidFill>
              </a:rPr>
              <a:t>Median Transaction Size per </a:t>
            </a:r>
            <a:r>
              <a:rPr lang="en-GB" sz="2000" b="1" i="0" u="none" strike="noStrike" kern="1200" spc="0" baseline="0">
                <a:solidFill>
                  <a:schemeClr val="tx1"/>
                </a:solidFill>
              </a:rPr>
              <a:t>Signature Scheme</a:t>
            </a:r>
            <a:r>
              <a:rPr lang="en-GB" sz="2000" b="1" i="0" u="none" strike="noStrike" baseline="0">
                <a:solidFill>
                  <a:schemeClr val="tx1"/>
                </a:solidFill>
              </a:rPr>
              <a:t> (Bytes)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25845080708196"/>
          <c:y val="0.1043317834988924"/>
          <c:w val="0.89053159537966042"/>
          <c:h val="0.841362941830692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'Transcati Size (MEdian for  (2)'!$D$1</c:f>
              <c:strCache>
                <c:ptCount val="1"/>
                <c:pt idx="0">
                  <c:v>Median (μs)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4951977075204912E-3"/>
                  <c:y val="0.3130414345678339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4E-4793-B18F-8785EDFDD0D8}"/>
                </c:ext>
              </c:extLst>
            </c:dLbl>
            <c:dLbl>
              <c:idx val="2"/>
              <c:layout>
                <c:manualLayout>
                  <c:x val="-1.4994053418120943E-3"/>
                  <c:y val="0.1596651635003826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4E-4793-B18F-8785EDFDD0D8}"/>
                </c:ext>
              </c:extLst>
            </c:dLbl>
            <c:dLbl>
              <c:idx val="3"/>
              <c:layout>
                <c:manualLayout>
                  <c:x val="-1.9790353148392637E-3"/>
                  <c:y val="0.1351806396397819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4E-4793-B18F-8785EDFDD0D8}"/>
                </c:ext>
              </c:extLst>
            </c:dLbl>
            <c:dLbl>
              <c:idx val="4"/>
              <c:layout>
                <c:manualLayout>
                  <c:x val="-4.2466451503312381E-5"/>
                  <c:y val="0.1317304326815597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4E-4793-B18F-8785EDFDD0D8}"/>
                </c:ext>
              </c:extLst>
            </c:dLbl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'Transcati Size (MEdian for  (2)'!$J$6</c:f>
                <c:numCache>
                  <c:formatCode>General</c:formatCode>
                  <c:ptCount val="1"/>
                  <c:pt idx="0">
                    <c:v>1.5</c:v>
                  </c:pt>
                </c:numCache>
              </c:numRef>
            </c:plus>
            <c:minus>
              <c:numRef>
                <c:f>'Transcati Size (MEdian for  (2)'!$I$6</c:f>
                <c:numCache>
                  <c:formatCode>General</c:formatCode>
                  <c:ptCount val="1"/>
                  <c:pt idx="0">
                    <c:v>5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'Transcati Size (MEdian for  (2)'!$A$2:$A$6</c:f>
              <c:strCache>
                <c:ptCount val="5"/>
                <c:pt idx="0">
                  <c:v>ECDSA</c:v>
                </c:pt>
                <c:pt idx="1">
                  <c:v>Dilithium</c:v>
                </c:pt>
                <c:pt idx="2">
                  <c:v>Falcon</c:v>
                </c:pt>
                <c:pt idx="3">
                  <c:v>ECDSA + Dilithium</c:v>
                </c:pt>
                <c:pt idx="4">
                  <c:v>ECDSA + Falcon</c:v>
                </c:pt>
              </c:strCache>
            </c:strRef>
          </c:cat>
          <c:val>
            <c:numRef>
              <c:f>'Transcati Size (MEdian for  (2)'!$D$2:$D$6</c:f>
              <c:numCache>
                <c:formatCode>0.00</c:formatCode>
                <c:ptCount val="5"/>
                <c:pt idx="0">
                  <c:v>401</c:v>
                </c:pt>
                <c:pt idx="1">
                  <c:v>6367</c:v>
                </c:pt>
                <c:pt idx="2">
                  <c:v>2422</c:v>
                </c:pt>
                <c:pt idx="3">
                  <c:v>2491</c:v>
                </c:pt>
                <c:pt idx="4">
                  <c:v>2629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4E-4793-B18F-8785EDFDD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1182239808"/>
        <c:axId val="1182266688"/>
      </c:barChart>
      <c:catAx>
        <c:axId val="118223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66688"/>
        <c:crosses val="autoZero"/>
        <c:auto val="1"/>
        <c:lblAlgn val="ctr"/>
        <c:lblOffset val="100"/>
        <c:noMultiLvlLbl val="0"/>
      </c:catAx>
      <c:valAx>
        <c:axId val="11822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 i="0" u="none" strike="noStrike" kern="1200" baseline="0">
                    <a:solidFill>
                      <a:schemeClr val="tx1"/>
                    </a:solidFill>
                  </a:rPr>
                  <a:t>Transaction Size </a:t>
                </a:r>
                <a:r>
                  <a:rPr lang="en-GB" sz="2000" b="1">
                    <a:solidFill>
                      <a:schemeClr val="tx1"/>
                    </a:solidFill>
                  </a:rPr>
                  <a:t>(Bytes)</a:t>
                </a:r>
              </a:p>
            </c:rich>
          </c:tx>
          <c:layout>
            <c:manualLayout>
              <c:xMode val="edge"/>
              <c:yMode val="edge"/>
              <c:x val="1.4690705516598266E-2"/>
              <c:y val="0.380607122614560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3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ysClr val="windowText" lastClr="000000"/>
                </a:solidFill>
              </a:rPr>
              <a:t>Median Ledger Growth for 100,000 Transactions (MB)</a:t>
            </a:r>
            <a:endParaRPr lang="en-GB" sz="20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25845080708196"/>
          <c:y val="0.1043317834988924"/>
          <c:w val="0.89053159537966042"/>
          <c:h val="0.841362941830692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'Ledger Size (MEdian for  (3)'!$D$1</c:f>
              <c:strCache>
                <c:ptCount val="1"/>
                <c:pt idx="0">
                  <c:v>Median (μs)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0703734428331117E-3"/>
                  <c:y val="0.279613768310665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1F-46F0-89CE-06CE4CBFE980}"/>
                </c:ext>
              </c:extLst>
            </c:dLbl>
            <c:dLbl>
              <c:idx val="1"/>
              <c:layout>
                <c:manualLayout>
                  <c:x val="-1.4951977075204912E-3"/>
                  <c:y val="0.3130414345678339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71F-46F0-89CE-06CE4CBFE980}"/>
                </c:ext>
              </c:extLst>
            </c:dLbl>
            <c:dLbl>
              <c:idx val="2"/>
              <c:layout>
                <c:manualLayout>
                  <c:x val="-1.4994053418120943E-3"/>
                  <c:y val="0.1596651635003826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1F-46F0-89CE-06CE4CBFE980}"/>
                </c:ext>
              </c:extLst>
            </c:dLbl>
            <c:dLbl>
              <c:idx val="3"/>
              <c:layout>
                <c:manualLayout>
                  <c:x val="-1.9790353148392637E-3"/>
                  <c:y val="0.1351806396397819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1F-46F0-89CE-06CE4CBFE980}"/>
                </c:ext>
              </c:extLst>
            </c:dLbl>
            <c:dLbl>
              <c:idx val="4"/>
              <c:layout>
                <c:manualLayout>
                  <c:x val="-4.2466451503312381E-5"/>
                  <c:y val="0.1317304326815597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1F-46F0-89CE-06CE4CBFE980}"/>
                </c:ext>
              </c:extLst>
            </c:dLbl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'Ledger Size (MEdian for  (3)'!$J$6</c:f>
                <c:numCache>
                  <c:formatCode>General</c:formatCode>
                  <c:ptCount val="1"/>
                  <c:pt idx="0">
                    <c:v>7.4699999998983913E-4</c:v>
                  </c:pt>
                </c:numCache>
              </c:numRef>
            </c:plus>
            <c:minus>
              <c:numRef>
                <c:f>'Ledger Size (MEdian for  (3)'!$I$6</c:f>
                <c:numCache>
                  <c:formatCode>General</c:formatCode>
                  <c:ptCount val="1"/>
                  <c:pt idx="0">
                    <c:v>6.4800000001241642E-4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'Ledger Size (MEdian for  (3)'!$A$2:$A$6</c:f>
              <c:strCache>
                <c:ptCount val="5"/>
                <c:pt idx="0">
                  <c:v>ECDSA</c:v>
                </c:pt>
                <c:pt idx="1">
                  <c:v>Dilithium</c:v>
                </c:pt>
                <c:pt idx="2">
                  <c:v>Falcon</c:v>
                </c:pt>
                <c:pt idx="3">
                  <c:v>ECDSA + Dilithium</c:v>
                </c:pt>
                <c:pt idx="4">
                  <c:v>ECDSA + Falcon</c:v>
                </c:pt>
              </c:strCache>
            </c:strRef>
          </c:cat>
          <c:val>
            <c:numRef>
              <c:f>'Ledger Size (MEdian for  (3)'!$D$2:$D$6</c:f>
              <c:numCache>
                <c:formatCode>0.00</c:formatCode>
                <c:ptCount val="5"/>
                <c:pt idx="0">
                  <c:v>660.44626200000005</c:v>
                </c:pt>
                <c:pt idx="1">
                  <c:v>680.94495700000004</c:v>
                </c:pt>
                <c:pt idx="2">
                  <c:v>286.55528900000002</c:v>
                </c:pt>
                <c:pt idx="3">
                  <c:v>63.945</c:v>
                </c:pt>
                <c:pt idx="4">
                  <c:v>266.05637100000001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1F-46F0-89CE-06CE4CBFE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1182239808"/>
        <c:axId val="1182266688"/>
      </c:barChart>
      <c:catAx>
        <c:axId val="118223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66688"/>
        <c:crosses val="autoZero"/>
        <c:auto val="1"/>
        <c:lblAlgn val="ctr"/>
        <c:lblOffset val="100"/>
        <c:noMultiLvlLbl val="0"/>
      </c:catAx>
      <c:valAx>
        <c:axId val="11822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="1" i="0" u="none" strike="noStrike" kern="1200" baseline="0">
                    <a:solidFill>
                      <a:schemeClr val="tx1"/>
                    </a:solidFill>
                  </a:rPr>
                  <a:t>Total Lenger Size (MB)</a:t>
                </a:r>
                <a:endParaRPr lang="en-GB" sz="20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4690705516598266E-2"/>
              <c:y val="0.380607122614560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3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541644</xdr:colOff>
      <xdr:row>14</xdr:row>
      <xdr:rowOff>26924</xdr:rowOff>
    </xdr:from>
    <xdr:to>
      <xdr:col>15</xdr:col>
      <xdr:colOff>179613</xdr:colOff>
      <xdr:row>56</xdr:row>
      <xdr:rowOff>141513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A89FE6-3479-417A-746B-2CCD9FF0D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941295</xdr:colOff>
      <xdr:row>12</xdr:row>
      <xdr:rowOff>51819</xdr:rowOff>
    </xdr:from>
    <xdr:to>
      <xdr:col>17</xdr:col>
      <xdr:colOff>302559</xdr:colOff>
      <xdr:row>58</xdr:row>
      <xdr:rowOff>145679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6DD48E-55C5-4F2F-BCE9-A7F17F18E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1288678</xdr:colOff>
      <xdr:row>8</xdr:row>
      <xdr:rowOff>85435</xdr:rowOff>
    </xdr:from>
    <xdr:to>
      <xdr:col>18</xdr:col>
      <xdr:colOff>44824</xdr:colOff>
      <xdr:row>54</xdr:row>
      <xdr:rowOff>179295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3BDA4-B4BA-4B2A-971E-A3976DD59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439274</xdr:colOff>
      <xdr:row>3</xdr:row>
      <xdr:rowOff>113289</xdr:rowOff>
    </xdr:from>
    <xdr:to>
      <xdr:col>32</xdr:col>
      <xdr:colOff>10967</xdr:colOff>
      <xdr:row>50</xdr:row>
      <xdr:rowOff>16649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725E1-AD30-4536-846C-C48866A24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29751</xdr:colOff>
      <xdr:row>62</xdr:row>
      <xdr:rowOff>183580</xdr:rowOff>
    </xdr:from>
    <xdr:to>
      <xdr:col>49</xdr:col>
      <xdr:colOff>398080</xdr:colOff>
      <xdr:row>109</xdr:row>
      <xdr:rowOff>86940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6811AA-ED7B-46F1-AA29-38B9E21BF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179294</xdr:colOff>
      <xdr:row>3</xdr:row>
      <xdr:rowOff>170596</xdr:rowOff>
    </xdr:from>
    <xdr:to>
      <xdr:col>40</xdr:col>
      <xdr:colOff>589443</xdr:colOff>
      <xdr:row>53</xdr:row>
      <xdr:rowOff>24920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93AF85-B750-29C4-B545-82104789F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354487</xdr:colOff>
      <xdr:row>1</xdr:row>
      <xdr:rowOff>126816</xdr:rowOff>
    </xdr:from>
    <xdr:to>
      <xdr:col>36</xdr:col>
      <xdr:colOff>424383</xdr:colOff>
      <xdr:row>50</xdr:row>
      <xdr:rowOff>179923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CB2F1B-CE6F-4460-AB55-8C610E01A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29751</xdr:colOff>
      <xdr:row>62</xdr:row>
      <xdr:rowOff>183580</xdr:rowOff>
    </xdr:from>
    <xdr:to>
      <xdr:col>49</xdr:col>
      <xdr:colOff>398080</xdr:colOff>
      <xdr:row>109</xdr:row>
      <xdr:rowOff>86940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F1AAD5-5534-4F98-8963-3F6A7F0FFC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653143</xdr:colOff>
      <xdr:row>1</xdr:row>
      <xdr:rowOff>154030</xdr:rowOff>
    </xdr:from>
    <xdr:to>
      <xdr:col>34</xdr:col>
      <xdr:colOff>84204</xdr:colOff>
      <xdr:row>51</xdr:row>
      <xdr:rowOff>16637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1CDE28-4968-483D-8C1F-53367CCED3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7105</xdr:colOff>
      <xdr:row>2</xdr:row>
      <xdr:rowOff>59581</xdr:rowOff>
    </xdr:from>
    <xdr:to>
      <xdr:col>36</xdr:col>
      <xdr:colOff>77001</xdr:colOff>
      <xdr:row>51</xdr:row>
      <xdr:rowOff>101482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E7F8DB-3187-4B1E-A88F-92BF20716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682759</xdr:colOff>
      <xdr:row>12</xdr:row>
      <xdr:rowOff>106247</xdr:rowOff>
    </xdr:from>
    <xdr:to>
      <xdr:col>32</xdr:col>
      <xdr:colOff>193702</xdr:colOff>
      <xdr:row>59</xdr:row>
      <xdr:rowOff>9607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019DD6-386E-43C8-BBAB-C6846C336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682759</xdr:colOff>
      <xdr:row>12</xdr:row>
      <xdr:rowOff>106247</xdr:rowOff>
    </xdr:from>
    <xdr:to>
      <xdr:col>32</xdr:col>
      <xdr:colOff>193702</xdr:colOff>
      <xdr:row>59</xdr:row>
      <xdr:rowOff>9607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807D0-EE11-45CE-AAC8-3715C2453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682759</xdr:colOff>
      <xdr:row>12</xdr:row>
      <xdr:rowOff>106247</xdr:rowOff>
    </xdr:from>
    <xdr:to>
      <xdr:col>32</xdr:col>
      <xdr:colOff>193702</xdr:colOff>
      <xdr:row>59</xdr:row>
      <xdr:rowOff>9607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5136B7-9C59-4633-90A8-019F795749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682759</xdr:colOff>
      <xdr:row>12</xdr:row>
      <xdr:rowOff>106247</xdr:rowOff>
    </xdr:from>
    <xdr:to>
      <xdr:col>32</xdr:col>
      <xdr:colOff>193702</xdr:colOff>
      <xdr:row>59</xdr:row>
      <xdr:rowOff>9607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B367E4-F3CC-4ED3-BD72-619494C01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29DCBA-D1B7-4391-9AFB-2394CFA4ECDD}" autoFormatId="16" applyNumberFormats="0" applyBorderFormats="0" applyFontFormats="0" applyPatternFormats="0" applyAlignmentFormats="0" applyWidthHeightFormats="0">
  <queryTableRefresh nextId="12">
    <queryTableFields count="10">
      <queryTableField id="1" name="Source.Name" tableColumnId="1"/>
      <queryTableField id="2" name="metric" tableColumnId="2"/>
      <queryTableField id="4" name="median" tableColumnId="4"/>
      <queryTableField id="3" name="q1" tableColumnId="3"/>
      <queryTableField id="5" name="q3" tableColumnId="5"/>
      <queryTableField id="6" name="iqr" tableColumnId="6"/>
      <queryTableField id="7" name="mean" tableColumnId="7"/>
      <queryTableField id="8" name="std" tableColumnId="8"/>
      <queryTableField id="9" name="min" tableColumnId="9"/>
      <queryTableField id="10" name="max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0" xr16:uid="{4DF39D33-B3BB-498C-A812-E968A9700FED}" autoFormatId="16" applyNumberFormats="0" applyBorderFormats="0" applyFontFormats="0" applyPatternFormats="0" applyAlignmentFormats="0" applyWidthHeightFormats="0">
  <queryTableRefresh nextId="12">
    <queryTableFields count="10">
      <queryTableField id="1" name="Source.Name" tableColumnId="1"/>
      <queryTableField id="2" name="metric" tableColumnId="2"/>
      <queryTableField id="4" name="median" tableColumnId="4"/>
      <queryTableField id="3" name="q1" tableColumnId="3"/>
      <queryTableField id="5" name="q3" tableColumnId="5"/>
      <queryTableField id="6" name="iqr" tableColumnId="6"/>
      <queryTableField id="7" name="mean" tableColumnId="7"/>
      <queryTableField id="8" name="std" tableColumnId="8"/>
      <queryTableField id="9" name="min" tableColumnId="9"/>
      <queryTableField id="10" name="max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838658E-D3B4-4331-96FE-792FD5BE8E76}" autoFormatId="16" applyNumberFormats="0" applyBorderFormats="0" applyFontFormats="0" applyPatternFormats="0" applyAlignmentFormats="0" applyWidthHeightFormats="0">
  <queryTableRefresh nextId="12">
    <queryTableFields count="10">
      <queryTableField id="1" name="Source.Name" tableColumnId="1"/>
      <queryTableField id="2" name="metric" tableColumnId="2"/>
      <queryTableField id="4" name="median" tableColumnId="4"/>
      <queryTableField id="3" name="q1" tableColumnId="3"/>
      <queryTableField id="5" name="q3" tableColumnId="5"/>
      <queryTableField id="6" name="iqr" tableColumnId="6"/>
      <queryTableField id="7" name="mean" tableColumnId="7"/>
      <queryTableField id="8" name="std" tableColumnId="8"/>
      <queryTableField id="9" name="min" tableColumnId="9"/>
      <queryTableField id="10" name="max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2" xr16:uid="{CEFCDC31-1A9E-4995-96A1-9BB1317A0A5B}" autoFormatId="16" applyNumberFormats="0" applyBorderFormats="0" applyFontFormats="0" applyPatternFormats="0" applyAlignmentFormats="0" applyWidthHeightFormats="0">
  <queryTableRefresh nextId="16">
    <queryTableFields count="11">
      <queryTableField id="1" name="Source.Name" tableColumnId="1"/>
      <queryTableField id="2" name="metric" tableColumnId="2"/>
      <queryTableField id="4" name="median" tableColumnId="4"/>
      <queryTableField id="11" dataBound="0" tableColumnId="11"/>
      <queryTableField id="8" dataBound="0" tableColumnId="8"/>
      <queryTableField id="14" dataBound="0" tableColumnId="14"/>
      <queryTableField id="5" name="q3" tableColumnId="5"/>
      <queryTableField id="15" dataBound="0" tableColumnId="15"/>
      <queryTableField id="10" dataBound="0" tableColumnId="10"/>
      <queryTableField id="9" dataBound="0" tableColumnId="9"/>
      <queryTableField id="6" name="iqr" tableColumnId="6"/>
    </queryTableFields>
    <queryTableDeletedFields count="1">
      <deletedField name="q1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3" xr16:uid="{BD87B39E-2DAB-41C4-94D3-251A069004D8}" autoFormatId="16" applyNumberFormats="0" applyBorderFormats="0" applyFontFormats="0" applyPatternFormats="0" applyAlignmentFormats="0" applyWidthHeightFormats="0">
  <queryTableRefresh nextId="16">
    <queryTableFields count="11">
      <queryTableField id="1" name="Source.Name" tableColumnId="1"/>
      <queryTableField id="2" name="metric" tableColumnId="2"/>
      <queryTableField id="4" name="median" tableColumnId="4"/>
      <queryTableField id="11" dataBound="0" tableColumnId="11"/>
      <queryTableField id="8" dataBound="0" tableColumnId="8"/>
      <queryTableField id="14" dataBound="0" tableColumnId="14"/>
      <queryTableField id="5" name="q3" tableColumnId="5"/>
      <queryTableField id="15" dataBound="0" tableColumnId="15"/>
      <queryTableField id="10" dataBound="0" tableColumnId="10"/>
      <queryTableField id="9" dataBound="0" tableColumnId="9"/>
      <queryTableField id="6" name="iqr" tableColumnId="6"/>
    </queryTableFields>
    <queryTableDeletedFields count="1">
      <deletedField name="q1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5" xr16:uid="{4DC371FC-598A-44A1-B428-A445E294ABC0}" autoFormatId="16" applyNumberFormats="0" applyBorderFormats="0" applyFontFormats="0" applyPatternFormats="0" applyAlignmentFormats="0" applyWidthHeightFormats="0">
  <queryTableRefresh nextId="16">
    <queryTableFields count="11">
      <queryTableField id="1" name="Source.Name" tableColumnId="1"/>
      <queryTableField id="2" name="metric" tableColumnId="2"/>
      <queryTableField id="4" name="median" tableColumnId="4"/>
      <queryTableField id="11" dataBound="0" tableColumnId="11"/>
      <queryTableField id="8" dataBound="0" tableColumnId="8"/>
      <queryTableField id="14" dataBound="0" tableColumnId="14"/>
      <queryTableField id="5" name="q3" tableColumnId="5"/>
      <queryTableField id="15" dataBound="0" tableColumnId="15"/>
      <queryTableField id="10" dataBound="0" tableColumnId="10"/>
      <queryTableField id="9" dataBound="0" tableColumnId="9"/>
      <queryTableField id="6" name="iqr" tableColumnId="6"/>
    </queryTableFields>
    <queryTableDeletedFields count="1">
      <deletedField name="q1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7" xr16:uid="{7D99ECE3-2461-4E86-B484-DB484D11F7EA}" autoFormatId="16" applyNumberFormats="0" applyBorderFormats="0" applyFontFormats="0" applyPatternFormats="0" applyAlignmentFormats="0" applyWidthHeightFormats="0">
  <queryTableRefresh nextId="12">
    <queryTableFields count="10">
      <queryTableField id="1" name="Source.Name" tableColumnId="1"/>
      <queryTableField id="2" name="metric" tableColumnId="2"/>
      <queryTableField id="4" name="median" tableColumnId="4"/>
      <queryTableField id="3" name="q1" tableColumnId="3"/>
      <queryTableField id="5" name="q3" tableColumnId="5"/>
      <queryTableField id="6" name="iqr" tableColumnId="6"/>
      <queryTableField id="7" name="mean" tableColumnId="7"/>
      <queryTableField id="8" name="std" tableColumnId="8"/>
      <queryTableField id="9" name="min" tableColumnId="9"/>
      <queryTableField id="10" name="max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9" xr16:uid="{EED94CF4-36B8-466B-8E36-BBD2A21FBC6F}" autoFormatId="16" applyNumberFormats="0" applyBorderFormats="0" applyFontFormats="0" applyPatternFormats="0" applyAlignmentFormats="0" applyWidthHeightFormats="0">
  <queryTableRefresh nextId="16">
    <queryTableFields count="11">
      <queryTableField id="1" name="Source.Name" tableColumnId="1"/>
      <queryTableField id="2" name="metric" tableColumnId="2"/>
      <queryTableField id="4" name="median" tableColumnId="4"/>
      <queryTableField id="11" dataBound="0" tableColumnId="11"/>
      <queryTableField id="8" dataBound="0" tableColumnId="8"/>
      <queryTableField id="14" dataBound="0" tableColumnId="14"/>
      <queryTableField id="5" name="q3" tableColumnId="5"/>
      <queryTableField id="15" dataBound="0" tableColumnId="15"/>
      <queryTableField id="10" dataBound="0" tableColumnId="10"/>
      <queryTableField id="9" dataBound="0" tableColumnId="9"/>
      <queryTableField id="6" name="iqr" tableColumnId="6"/>
    </queryTableFields>
    <queryTableDeletedFields count="1">
      <deletedField name="q1"/>
    </queryTableDeleted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8" xr16:uid="{A893FE08-FDD0-4FF2-8368-2FA5E584339F}" autoFormatId="16" applyNumberFormats="0" applyBorderFormats="0" applyFontFormats="0" applyPatternFormats="0" applyAlignmentFormats="0" applyWidthHeightFormats="0">
  <queryTableRefresh nextId="12">
    <queryTableFields count="10">
      <queryTableField id="1" name="Source.Name" tableColumnId="1"/>
      <queryTableField id="2" name="metric" tableColumnId="2"/>
      <queryTableField id="4" name="median" tableColumnId="4"/>
      <queryTableField id="3" name="q1" tableColumnId="3"/>
      <queryTableField id="5" name="q3" tableColumnId="5"/>
      <queryTableField id="6" name="iqr" tableColumnId="6"/>
      <queryTableField id="7" name="mean" tableColumnId="7"/>
      <queryTableField id="8" name="std" tableColumnId="8"/>
      <queryTableField id="9" name="min" tableColumnId="9"/>
      <queryTableField id="10" name="max" tableColumnId="10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1" xr16:uid="{EEF36E02-D9A4-4D47-BE0B-1861469C3401}" autoFormatId="16" applyNumberFormats="0" applyBorderFormats="0" applyFontFormats="0" applyPatternFormats="0" applyAlignmentFormats="0" applyWidthHeightFormats="0">
  <queryTableRefresh nextId="16">
    <queryTableFields count="11">
      <queryTableField id="1" name="Source.Name" tableColumnId="1"/>
      <queryTableField id="2" name="metric" tableColumnId="2"/>
      <queryTableField id="4" name="median" tableColumnId="4"/>
      <queryTableField id="11" dataBound="0" tableColumnId="11"/>
      <queryTableField id="8" dataBound="0" tableColumnId="8"/>
      <queryTableField id="14" dataBound="0" tableColumnId="14"/>
      <queryTableField id="5" name="q3" tableColumnId="5"/>
      <queryTableField id="15" dataBound="0" tableColumnId="15"/>
      <queryTableField id="10" dataBound="0" tableColumnId="10"/>
      <queryTableField id="9" dataBound="0" tableColumnId="9"/>
      <queryTableField id="6" name="iqr" tableColumnId="6"/>
    </queryTableFields>
    <queryTableDeletedFields count="1">
      <deletedField name="q1"/>
    </queryTableDeleted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17F7C371-A66D-4B3A-9F62-5E8ADEF3785A}" autoFormatId="16" applyNumberFormats="0" applyBorderFormats="0" applyFontFormats="0" applyPatternFormats="0" applyAlignmentFormats="0" applyWidthHeightFormats="0">
  <queryTableRefresh nextId="12">
    <queryTableFields count="10">
      <queryTableField id="1" name="Source.Name" tableColumnId="1"/>
      <queryTableField id="2" name="metric" tableColumnId="2"/>
      <queryTableField id="4" name="median" tableColumnId="4"/>
      <queryTableField id="3" name="q1" tableColumnId="3"/>
      <queryTableField id="5" name="q3" tableColumnId="5"/>
      <queryTableField id="6" name="iqr" tableColumnId="6"/>
      <queryTableField id="7" name="mean" tableColumnId="7"/>
      <queryTableField id="8" name="std" tableColumnId="8"/>
      <queryTableField id="9" name="min" tableColumnId="9"/>
      <queryTableField id="10" name="max" tableColumnId="10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6" xr16:uid="{DE3B3E9B-BCBF-4E42-BB57-D220D8F5F764}" autoFormatId="16" applyNumberFormats="0" applyBorderFormats="0" applyFontFormats="0" applyPatternFormats="0" applyAlignmentFormats="0" applyWidthHeightFormats="0">
  <queryTableRefresh nextId="16">
    <queryTableFields count="11">
      <queryTableField id="1" name="Source.Name" tableColumnId="1"/>
      <queryTableField id="2" name="metric" tableColumnId="2"/>
      <queryTableField id="4" name="median" tableColumnId="4"/>
      <queryTableField id="11" dataBound="0" tableColumnId="11"/>
      <queryTableField id="8" dataBound="0" tableColumnId="8"/>
      <queryTableField id="14" dataBound="0" tableColumnId="14"/>
      <queryTableField id="5" name="q3" tableColumnId="5"/>
      <queryTableField id="15" dataBound="0" tableColumnId="15"/>
      <queryTableField id="10" dataBound="0" tableColumnId="10"/>
      <queryTableField id="9" dataBound="0" tableColumnId="9"/>
      <queryTableField id="6" name="iqr" tableColumnId="6"/>
    </queryTableFields>
    <queryTableDeletedFields count="1">
      <deletedField name="q1"/>
    </queryTableDeleted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5" xr16:uid="{D5AA916F-194A-41CA-81F7-AF9C70A36E44}" autoFormatId="16" applyNumberFormats="0" applyBorderFormats="0" applyFontFormats="0" applyPatternFormats="0" applyAlignmentFormats="0" applyWidthHeightFormats="0">
  <queryTableRefresh nextId="16">
    <queryTableFields count="11">
      <queryTableField id="1" name="Source.Name" tableColumnId="1"/>
      <queryTableField id="2" name="metric" tableColumnId="2"/>
      <queryTableField id="4" name="median" tableColumnId="4"/>
      <queryTableField id="11" dataBound="0" tableColumnId="11"/>
      <queryTableField id="8" dataBound="0" tableColumnId="8"/>
      <queryTableField id="14" dataBound="0" tableColumnId="14"/>
      <queryTableField id="5" name="q3" tableColumnId="5"/>
      <queryTableField id="15" dataBound="0" tableColumnId="15"/>
      <queryTableField id="10" dataBound="0" tableColumnId="10"/>
      <queryTableField id="9" dataBound="0" tableColumnId="9"/>
      <queryTableField id="6" name="iqr" tableColumnId="6"/>
    </queryTableFields>
    <queryTableDeletedFields count="1">
      <deletedField name="q1"/>
    </queryTableDeleted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4" xr16:uid="{30ECD585-695B-4FF6-82B2-2EC2E504F68E}" autoFormatId="16" applyNumberFormats="0" applyBorderFormats="0" applyFontFormats="0" applyPatternFormats="0" applyAlignmentFormats="0" applyWidthHeightFormats="0">
  <queryTableRefresh nextId="12">
    <queryTableFields count="10">
      <queryTableField id="1" name="Source.Name" tableColumnId="1"/>
      <queryTableField id="2" name="metric" tableColumnId="2"/>
      <queryTableField id="4" name="median" tableColumnId="4"/>
      <queryTableField id="3" name="q1" tableColumnId="3"/>
      <queryTableField id="5" name="q3" tableColumnId="5"/>
      <queryTableField id="6" name="iqr" tableColumnId="6"/>
      <queryTableField id="7" name="mean" tableColumnId="7"/>
      <queryTableField id="8" name="std" tableColumnId="8"/>
      <queryTableField id="9" name="min" tableColumnId="9"/>
      <queryTableField id="10" name="max" tableColumnId="10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8" xr16:uid="{84AC7E54-AF65-4AFE-BC20-41D202010263}" autoFormatId="16" applyNumberFormats="0" applyBorderFormats="0" applyFontFormats="0" applyPatternFormats="0" applyAlignmentFormats="0" applyWidthHeightFormats="0">
  <queryTableRefresh nextId="16">
    <queryTableFields count="11">
      <queryTableField id="1" name="Source.Name" tableColumnId="1"/>
      <queryTableField id="2" name="metric" tableColumnId="2"/>
      <queryTableField id="4" name="median" tableColumnId="4"/>
      <queryTableField id="11" dataBound="0" tableColumnId="11"/>
      <queryTableField id="8" dataBound="0" tableColumnId="8"/>
      <queryTableField id="14" dataBound="0" tableColumnId="14"/>
      <queryTableField id="5" name="q3" tableColumnId="5"/>
      <queryTableField id="15" dataBound="0" tableColumnId="15"/>
      <queryTableField id="10" dataBound="0" tableColumnId="10"/>
      <queryTableField id="9" dataBound="0" tableColumnId="9"/>
      <queryTableField id="6" name="iqr" tableColumnId="6"/>
    </queryTableFields>
    <queryTableDeletedFields count="1">
      <deletedField name="q1"/>
    </queryTableDeleted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0" xr16:uid="{330AC4CC-C284-4490-914B-C9385B3C8AD4}" autoFormatId="16" applyNumberFormats="0" applyBorderFormats="0" applyFontFormats="0" applyPatternFormats="0" applyAlignmentFormats="0" applyWidthHeightFormats="0">
  <queryTableRefresh nextId="16">
    <queryTableFields count="11">
      <queryTableField id="1" name="Source.Name" tableColumnId="1"/>
      <queryTableField id="2" name="metric" tableColumnId="2"/>
      <queryTableField id="4" name="median" tableColumnId="4"/>
      <queryTableField id="11" dataBound="0" tableColumnId="11"/>
      <queryTableField id="8" dataBound="0" tableColumnId="8"/>
      <queryTableField id="14" dataBound="0" tableColumnId="14"/>
      <queryTableField id="5" name="q3" tableColumnId="5"/>
      <queryTableField id="15" dataBound="0" tableColumnId="15"/>
      <queryTableField id="10" dataBound="0" tableColumnId="10"/>
      <queryTableField id="9" dataBound="0" tableColumnId="9"/>
      <queryTableField id="6" name="iqr" tableColumnId="6"/>
    </queryTableFields>
    <queryTableDeletedFields count="1">
      <deletedField name="q1"/>
    </queryTableDeleted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1" xr16:uid="{4C4616C1-CF92-478D-8B79-004C93A124DF}" autoFormatId="16" applyNumberFormats="0" applyBorderFormats="0" applyFontFormats="0" applyPatternFormats="0" applyAlignmentFormats="0" applyWidthHeightFormats="0">
  <queryTableRefresh nextId="16">
    <queryTableFields count="11">
      <queryTableField id="1" name="Source.Name" tableColumnId="1"/>
      <queryTableField id="2" name="metric" tableColumnId="2"/>
      <queryTableField id="4" name="median" tableColumnId="4"/>
      <queryTableField id="11" dataBound="0" tableColumnId="11"/>
      <queryTableField id="8" dataBound="0" tableColumnId="8"/>
      <queryTableField id="14" dataBound="0" tableColumnId="14"/>
      <queryTableField id="5" name="q3" tableColumnId="5"/>
      <queryTableField id="15" dataBound="0" tableColumnId="15"/>
      <queryTableField id="10" dataBound="0" tableColumnId="10"/>
      <queryTableField id="9" dataBound="0" tableColumnId="9"/>
      <queryTableField id="6" name="iqr" tableColumnId="6"/>
    </queryTableFields>
    <queryTableDeletedFields count="1">
      <deletedField name="q1"/>
    </queryTableDeleted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2" xr16:uid="{97A0CF06-6958-4D76-8138-0168F858D4BA}" autoFormatId="16" applyNumberFormats="0" applyBorderFormats="0" applyFontFormats="0" applyPatternFormats="0" applyAlignmentFormats="0" applyWidthHeightFormats="0">
  <queryTableRefresh nextId="16">
    <queryTableFields count="11">
      <queryTableField id="1" name="Source.Name" tableColumnId="1"/>
      <queryTableField id="2" name="metric" tableColumnId="2"/>
      <queryTableField id="4" name="median" tableColumnId="4"/>
      <queryTableField id="11" dataBound="0" tableColumnId="11"/>
      <queryTableField id="8" dataBound="0" tableColumnId="8"/>
      <queryTableField id="14" dataBound="0" tableColumnId="14"/>
      <queryTableField id="5" name="q3" tableColumnId="5"/>
      <queryTableField id="15" dataBound="0" tableColumnId="15"/>
      <queryTableField id="10" dataBound="0" tableColumnId="10"/>
      <queryTableField id="9" dataBound="0" tableColumnId="9"/>
      <queryTableField id="6" name="iqr" tableColumnId="6"/>
    </queryTableFields>
    <queryTableDeletedFields count="1">
      <deletedField name="q1"/>
    </queryTableDeleted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4" xr16:uid="{B53A9D57-F78C-4FC3-9282-DABC58286BD0}" autoFormatId="16" applyNumberFormats="0" applyBorderFormats="0" applyFontFormats="0" applyPatternFormats="0" applyAlignmentFormats="0" applyWidthHeightFormats="0">
  <queryTableRefresh nextId="16">
    <queryTableFields count="11">
      <queryTableField id="1" name="Source.Name" tableColumnId="1"/>
      <queryTableField id="2" name="metric" tableColumnId="2"/>
      <queryTableField id="4" name="median" tableColumnId="4"/>
      <queryTableField id="11" dataBound="0" tableColumnId="11"/>
      <queryTableField id="8" dataBound="0" tableColumnId="8"/>
      <queryTableField id="14" dataBound="0" tableColumnId="14"/>
      <queryTableField id="5" name="q3" tableColumnId="5"/>
      <queryTableField id="15" dataBound="0" tableColumnId="15"/>
      <queryTableField id="10" dataBound="0" tableColumnId="10"/>
      <queryTableField id="9" dataBound="0" tableColumnId="9"/>
      <queryTableField id="6" name="iqr" tableColumnId="6"/>
    </queryTableFields>
    <queryTableDeletedFields count="1">
      <deletedField name="q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3F94FFB-B5F7-468A-A564-22CD4A2FE93F}" name="Com" displayName="Com" ref="A1:J26" tableType="queryTable" totalsRowShown="0">
  <autoFilter ref="A1:J26" xr:uid="{23F94FFB-B5F7-468A-A564-22CD4A2FE93F}"/>
  <tableColumns count="10">
    <tableColumn id="1" xr3:uid="{2753DDBC-0B05-4FCE-AC15-710523627A04}" uniqueName="1" name="Source.Name" queryTableFieldId="1" dataDxfId="9"/>
    <tableColumn id="2" xr3:uid="{F4F0ACAA-0A0E-4BC8-9D65-644EC42F4D3E}" uniqueName="2" name="metric" queryTableFieldId="2" dataDxfId="8"/>
    <tableColumn id="4" xr3:uid="{2AF51066-AB74-4009-B0C7-8C6B1AD3E641}" uniqueName="4" name="median" queryTableFieldId="4"/>
    <tableColumn id="3" xr3:uid="{54E0D06C-AAD5-494A-A1C5-D9DC3EE428BC}" uniqueName="3" name="q1" queryTableFieldId="3"/>
    <tableColumn id="5" xr3:uid="{DC12FE97-6252-457A-9B59-A0EF094AFEF9}" uniqueName="5" name="q3" queryTableFieldId="5"/>
    <tableColumn id="6" xr3:uid="{044384EB-9FBE-4CEF-95D3-A240DBD6CC77}" uniqueName="6" name="iqr" queryTableFieldId="6"/>
    <tableColumn id="7" xr3:uid="{4D24E03F-B04E-4938-BA7C-A7349A697872}" uniqueName="7" name="mean" queryTableFieldId="7"/>
    <tableColumn id="8" xr3:uid="{C12F9E8D-B6F3-4D4E-85DE-C72D34ED85B5}" uniqueName="8" name="std" queryTableFieldId="8"/>
    <tableColumn id="9" xr3:uid="{DB232FDC-0060-454D-BF2A-95EB670EE8C2}" uniqueName="9" name="min" queryTableFieldId="9"/>
    <tableColumn id="10" xr3:uid="{4D9DBD38-42EC-4EFC-8315-240D21A73437}" uniqueName="10" name="max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F5729C6-C9F3-40C4-ADB8-90F8A9BD3C56}" name="Signing_Scheme__8" displayName="Signing_Scheme__8" ref="A1:J51" tableType="queryTable" totalsRowShown="0">
  <autoFilter ref="A1:J51" xr:uid="{8F5729C6-C9F3-40C4-ADB8-90F8A9BD3C56}"/>
  <tableColumns count="10">
    <tableColumn id="1" xr3:uid="{6546BBC9-6446-4577-ABFD-0D3B0C07BE17}" uniqueName="1" name="Source.Name" queryTableFieldId="1" dataDxfId="98"/>
    <tableColumn id="2" xr3:uid="{21EC105C-412E-487E-9F99-7C37516E7875}" uniqueName="2" name="metric" queryTableFieldId="2" dataDxfId="97"/>
    <tableColumn id="4" xr3:uid="{38DD9ED2-8A39-4894-81F3-C785F80BBC56}" uniqueName="4" name="median" queryTableFieldId="4"/>
    <tableColumn id="3" xr3:uid="{62345B87-F914-4D30-B83F-328EEEC815F3}" uniqueName="3" name="q1" queryTableFieldId="3"/>
    <tableColumn id="5" xr3:uid="{DC714CB1-DC78-4199-B335-9B03941E4A6B}" uniqueName="5" name="q3" queryTableFieldId="5"/>
    <tableColumn id="6" xr3:uid="{0B9D148D-4757-4480-A6A5-2D41F3783803}" uniqueName="6" name="iqr" queryTableFieldId="6"/>
    <tableColumn id="7" xr3:uid="{D6962AFF-3229-4F98-B095-9326E991B890}" uniqueName="7" name="mean" queryTableFieldId="7"/>
    <tableColumn id="8" xr3:uid="{816DA11A-F5D6-4E6B-AFDC-797F44EA482A}" uniqueName="8" name="std" queryTableFieldId="8"/>
    <tableColumn id="9" xr3:uid="{FD054CC9-9AD2-47DB-8883-3B0D570A179D}" uniqueName="9" name="min" queryTableFieldId="9"/>
    <tableColumn id="10" xr3:uid="{4A97EA55-D826-40DE-8A8D-2AAFEC93D8D4}" uniqueName="10" name="max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AFE0162-C586-41EC-B69C-650267207C34}" name="Commit" displayName="Commit" ref="A1:J51" tableType="queryTable" totalsRowShown="0">
  <autoFilter ref="A1:J51" xr:uid="{4AFE0162-C586-41EC-B69C-650267207C34}"/>
  <tableColumns count="10">
    <tableColumn id="1" xr3:uid="{5A9DE49C-3FAB-469D-8E47-DAA4B106F739}" uniqueName="1" name="Source.Name" queryTableFieldId="1" dataDxfId="96"/>
    <tableColumn id="2" xr3:uid="{DF7C5CC1-069D-4A8A-8F7F-112ECF76AB70}" uniqueName="2" name="metric" queryTableFieldId="2" dataDxfId="95"/>
    <tableColumn id="4" xr3:uid="{8B61DC4E-F972-483D-8C00-F0A73E52137C}" uniqueName="4" name="median" queryTableFieldId="4"/>
    <tableColumn id="3" xr3:uid="{A3F3B659-1C79-4830-8308-3F605F0C264B}" uniqueName="3" name="q1" queryTableFieldId="3"/>
    <tableColumn id="5" xr3:uid="{8CEA1A8D-80FB-4D66-9E44-B68E0E684136}" uniqueName="5" name="q3" queryTableFieldId="5"/>
    <tableColumn id="6" xr3:uid="{647A0A73-B866-4920-A0BE-A773E46AC0D8}" uniqueName="6" name="iqr" queryTableFieldId="6"/>
    <tableColumn id="7" xr3:uid="{484168DF-E773-4B31-BCD8-93E1045A0C76}" uniqueName="7" name="mean" queryTableFieldId="7"/>
    <tableColumn id="8" xr3:uid="{4F711153-F931-4EF4-8E89-37FA9A121B37}" uniqueName="8" name="std" queryTableFieldId="8"/>
    <tableColumn id="9" xr3:uid="{A95FF75B-97E5-4BAB-9BEC-ECDFC12EECD2}" uniqueName="9" name="min" queryTableFieldId="9"/>
    <tableColumn id="10" xr3:uid="{D57E3F08-F892-42AA-BDC3-4BA6D4F5F715}" uniqueName="10" name="max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000F0A-EA36-4EE1-8918-78A8EF17BDD9}" name="Signing_Scheme" displayName="Signing_Scheme" ref="A1:K6" tableType="queryTable" totalsRowShown="0">
  <autoFilter ref="A1:K6" xr:uid="{90000F0A-EA36-4EE1-8918-78A8EF17BDD9}"/>
  <tableColumns count="11">
    <tableColumn id="1" xr3:uid="{8E3B5551-0C68-457F-9499-ACED99682781}" uniqueName="1" name="Source.Name" queryTableFieldId="1" dataDxfId="94"/>
    <tableColumn id="2" xr3:uid="{9CED98CD-EAE8-4F2B-BF58-A22673AE0A62}" uniqueName="2" name="metric" queryTableFieldId="2" dataDxfId="93"/>
    <tableColumn id="4" xr3:uid="{A7C906CC-9BDB-4A58-9ACF-93A4D9E16A2D}" uniqueName="4" name="Median" queryTableFieldId="4"/>
    <tableColumn id="11" xr3:uid="{DEDD54B7-44A8-4A4C-BA5A-2BA11FEE7ABD}" uniqueName="11" name="Median (μs)" queryTableFieldId="11" dataDxfId="92">
      <calculatedColumnFormula>(C2/100000)*1000000</calculatedColumnFormula>
    </tableColumn>
    <tableColumn id="8" xr3:uid="{42472192-C704-40DD-A118-BB76ECDC465F}" uniqueName="8" name="Q1" queryTableFieldId="8"/>
    <tableColumn id="14" xr3:uid="{A24861B7-ABDC-44C3-89AE-83612E952335}" uniqueName="14" name="Q1 micro" queryTableFieldId="14" dataDxfId="91">
      <calculatedColumnFormula>E2*10</calculatedColumnFormula>
    </tableColumn>
    <tableColumn id="5" xr3:uid="{56760274-08B4-4CF9-B4B3-2C5F629D848C}" uniqueName="5" name="Q3" queryTableFieldId="5"/>
    <tableColumn id="15" xr3:uid="{E839F647-5135-44AF-94A0-DDF361E1E484}" uniqueName="15" name="Q3 micro" queryTableFieldId="15" dataDxfId="90">
      <calculatedColumnFormula>G2*10</calculatedColumnFormula>
    </tableColumn>
    <tableColumn id="10" xr3:uid="{2182DDEF-0BF0-41BB-92A3-92483A08C46E}" uniqueName="10" name="Lower micro" queryTableFieldId="10" dataDxfId="89">
      <calculatedColumnFormula>C2-E2</calculatedColumnFormula>
    </tableColumn>
    <tableColumn id="9" xr3:uid="{E94A6E52-EE91-4106-BD17-0B3E246FFEFE}" uniqueName="9" name="Higher micro" queryTableFieldId="9" dataDxfId="88">
      <calculatedColumnFormula>G2-C2</calculatedColumnFormula>
    </tableColumn>
    <tableColumn id="6" xr3:uid="{465FBC67-0C71-482A-9128-BA121EBA92F8}" uniqueName="6" name="IQR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E06424-0306-424E-B0B4-27B784EA52F2}" name="Signing_Scheme6" displayName="Signing_Scheme6" ref="A1:K6" tableType="queryTable" totalsRowShown="0">
  <autoFilter ref="A1:K6" xr:uid="{90000F0A-EA36-4EE1-8918-78A8EF17BDD9}"/>
  <tableColumns count="11">
    <tableColumn id="1" xr3:uid="{15F6B6C4-6C68-4AD3-8D1A-61AFF1157060}" uniqueName="1" name="Source.Name" queryTableFieldId="1" dataDxfId="87"/>
    <tableColumn id="2" xr3:uid="{893E9265-99BE-41BF-AFB3-2722374E85BE}" uniqueName="2" name="metric" queryTableFieldId="2" dataDxfId="86"/>
    <tableColumn id="4" xr3:uid="{7561EAD6-5D0B-4E82-8F12-6B94555E9625}" uniqueName="4" name="Median" queryTableFieldId="4" dataDxfId="85"/>
    <tableColumn id="11" xr3:uid="{14193238-A9D1-4AE1-8FEA-DA0BAA22A514}" uniqueName="11" name="Median (μs)" queryTableFieldId="11" dataDxfId="84">
      <calculatedColumnFormula>(C2/100000)*1000000</calculatedColumnFormula>
    </tableColumn>
    <tableColumn id="8" xr3:uid="{F1A3BFAC-E9C1-4249-8979-D2281213F391}" uniqueName="8" name="Q1" queryTableFieldId="8"/>
    <tableColumn id="14" xr3:uid="{551108F3-7785-4907-B81E-5C170621E735}" uniqueName="14" name="Q1 micro" queryTableFieldId="14" dataDxfId="83">
      <calculatedColumnFormula>E2*10</calculatedColumnFormula>
    </tableColumn>
    <tableColumn id="5" xr3:uid="{4B677AFE-8DD3-4A82-8B30-9514FD31F30D}" uniqueName="5" name="Q3" queryTableFieldId="5"/>
    <tableColumn id="15" xr3:uid="{F7FF53C8-13D3-428A-B958-6792475C510E}" uniqueName="15" name="Q3 micro" queryTableFieldId="15" dataDxfId="82">
      <calculatedColumnFormula>G2*10</calculatedColumnFormula>
    </tableColumn>
    <tableColumn id="10" xr3:uid="{F84E9913-765B-47B9-AB6E-DD8AA384F960}" uniqueName="10" name="Lower micro" queryTableFieldId="10" dataDxfId="81">
      <calculatedColumnFormula>D2-F2</calculatedColumnFormula>
    </tableColumn>
    <tableColumn id="9" xr3:uid="{BA7D19F5-ED66-45AE-A5D8-13B5DED7969B}" uniqueName="9" name="Higher micro" queryTableFieldId="9" dataDxfId="80">
      <calculatedColumnFormula>H2-D2</calculatedColumnFormula>
    </tableColumn>
    <tableColumn id="6" xr3:uid="{4E180C25-243E-4A8D-83C5-965D0F0AC27C}" uniqueName="6" name="IQR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C1F896A-23F7-4479-ABB6-D9EAF98C21C5}" name="Signing_Scheme610" displayName="Signing_Scheme610" ref="A1:K6" tableType="queryTable" totalsRowShown="0">
  <autoFilter ref="A1:K6" xr:uid="{90000F0A-EA36-4EE1-8918-78A8EF17BDD9}"/>
  <tableColumns count="11">
    <tableColumn id="1" xr3:uid="{072CA8C4-5EF0-4E9C-965B-A603C2927FE1}" uniqueName="1" name="Source.Name" queryTableFieldId="1" dataDxfId="79"/>
    <tableColumn id="2" xr3:uid="{CD52421C-BFF7-46CC-A8FA-D7740E3C044C}" uniqueName="2" name="metric" queryTableFieldId="2" dataDxfId="78"/>
    <tableColumn id="4" xr3:uid="{2C90D432-DB1E-4683-A01A-AE66F182CED5}" uniqueName="4" name="Median" queryTableFieldId="4" dataDxfId="77"/>
    <tableColumn id="11" xr3:uid="{301463A2-8430-487D-B6B0-17AF649DECB5}" uniqueName="11" name="Median (μs)" queryTableFieldId="11" dataDxfId="76">
      <calculatedColumnFormula>(C2/100000)*1000000</calculatedColumnFormula>
    </tableColumn>
    <tableColumn id="8" xr3:uid="{1A2723BF-4FB4-4510-B686-0811F99D5ECA}" uniqueName="8" name="Q1" queryTableFieldId="8"/>
    <tableColumn id="14" xr3:uid="{4B1BCC85-5157-490C-A2B6-34FF60B8116B}" uniqueName="14" name="Q1 micro" queryTableFieldId="14" dataDxfId="75">
      <calculatedColumnFormula>E2*10</calculatedColumnFormula>
    </tableColumn>
    <tableColumn id="5" xr3:uid="{2897A2EE-FCC3-49CB-872C-58AD7EA6DB40}" uniqueName="5" name="Q3" queryTableFieldId="5"/>
    <tableColumn id="15" xr3:uid="{BB69F1BE-844F-41E7-80B4-AE7C915D3337}" uniqueName="15" name="Q3 micro" queryTableFieldId="15" dataDxfId="74">
      <calculatedColumnFormula>G2*10</calculatedColumnFormula>
    </tableColumn>
    <tableColumn id="10" xr3:uid="{3734BACA-F588-435F-BB85-55B3A72424CE}" uniqueName="10" name="Lower micro" queryTableFieldId="10" dataDxfId="73">
      <calculatedColumnFormula>D2-F2</calculatedColumnFormula>
    </tableColumn>
    <tableColumn id="9" xr3:uid="{F94C8277-EA34-4502-803C-747BBBBEF31E}" uniqueName="9" name="Higher micro" queryTableFieldId="9" dataDxfId="72">
      <calculatedColumnFormula>H2-D2</calculatedColumnFormula>
    </tableColumn>
    <tableColumn id="6" xr3:uid="{46CA74A6-0C11-4A0B-B86A-E061181DE3BD}" uniqueName="6" name="IQR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210E3F2-FFE3-4DE1-90D2-C123424F4EDA}" name="Signing_Scheme__412" displayName="Signing_Scheme__412" ref="A18:J23" tableType="queryTable" totalsRowShown="0">
  <autoFilter ref="A18:J23" xr:uid="{5210E3F2-FFE3-4DE1-90D2-C123424F4EDA}"/>
  <tableColumns count="10">
    <tableColumn id="1" xr3:uid="{A17330AD-27AF-4539-9E11-7C02424155F5}" uniqueName="1" name="Source.Name" queryTableFieldId="1" dataDxfId="71"/>
    <tableColumn id="2" xr3:uid="{D58BCE41-8CC0-4208-9744-C0ACD41B4211}" uniqueName="2" name="metric" queryTableFieldId="2" dataDxfId="70"/>
    <tableColumn id="4" xr3:uid="{34DE52E2-B66E-4169-9F46-1A8F8ADE3DC0}" uniqueName="4" name="median" queryTableFieldId="4"/>
    <tableColumn id="3" xr3:uid="{7C5AFFC9-E56D-4E70-8A79-F6BC8E9D2CA0}" uniqueName="3" name="q1" queryTableFieldId="3"/>
    <tableColumn id="5" xr3:uid="{04A11464-4F72-4587-82BD-A8BD880A3D6A}" uniqueName="5" name="q3" queryTableFieldId="5"/>
    <tableColumn id="6" xr3:uid="{1EE642C2-1FD0-4B73-9036-4AEA255270A1}" uniqueName="6" name="iqr" queryTableFieldId="6"/>
    <tableColumn id="7" xr3:uid="{F36BD453-9ACD-48D4-875C-DABFEC98B085}" uniqueName="7" name="mean" queryTableFieldId="7"/>
    <tableColumn id="8" xr3:uid="{CCFC49A5-6C59-4677-B666-AF03FD86DBD9}" uniqueName="8" name="std" queryTableFieldId="8"/>
    <tableColumn id="9" xr3:uid="{E408326F-211B-4445-AB80-C5563AA70033}" uniqueName="9" name="min" queryTableFieldId="9"/>
    <tableColumn id="10" xr3:uid="{19EA5BE1-FBCA-4464-B51C-D89724626F11}" uniqueName="10" name="max" queryTableFieldId="1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CC75E57-63B2-49F1-928C-098D102E92D2}" name="Signing_Scheme61013" displayName="Signing_Scheme61013" ref="A1:K6" tableType="queryTable" totalsRowShown="0">
  <autoFilter ref="A1:K6" xr:uid="{90000F0A-EA36-4EE1-8918-78A8EF17BDD9}"/>
  <tableColumns count="11">
    <tableColumn id="1" xr3:uid="{1284DEFA-E015-4FA3-874B-16194080AE62}" uniqueName="1" name="Source.Name" queryTableFieldId="1" dataDxfId="69"/>
    <tableColumn id="2" xr3:uid="{D39C32EA-6B6D-43A9-A22D-BFC2ED939677}" uniqueName="2" name="metric" queryTableFieldId="2" dataDxfId="68"/>
    <tableColumn id="4" xr3:uid="{E9034627-05CA-484C-A765-A53FAE37544B}" uniqueName="4" name="Median" queryTableFieldId="4" dataDxfId="67"/>
    <tableColumn id="11" xr3:uid="{477E4133-6014-4348-8469-0500D5EF05A5}" uniqueName="11" name="Median (μs)" queryTableFieldId="11" dataDxfId="66">
      <calculatedColumnFormula>C2</calculatedColumnFormula>
    </tableColumn>
    <tableColumn id="8" xr3:uid="{CD8A85B9-880B-4F02-9660-E78921CAA71B}" uniqueName="8" name="Q1" queryTableFieldId="8"/>
    <tableColumn id="14" xr3:uid="{D6C6EAAE-F320-4096-AE13-6FEF121FF0EC}" uniqueName="14" name="Q1 micro" queryTableFieldId="14" dataDxfId="65">
      <calculatedColumnFormula>E2</calculatedColumnFormula>
    </tableColumn>
    <tableColumn id="5" xr3:uid="{8CA58817-04BC-4CE2-9707-28D76768E059}" uniqueName="5" name="Q3" queryTableFieldId="5"/>
    <tableColumn id="15" xr3:uid="{F29F5082-F60F-414B-8869-D846E342700D}" uniqueName="15" name="Q3 micro" queryTableFieldId="15" dataDxfId="64">
      <calculatedColumnFormula>G2</calculatedColumnFormula>
    </tableColumn>
    <tableColumn id="10" xr3:uid="{FC623E0D-38EE-4A08-96DA-039D9CC5063E}" uniqueName="10" name="Lower micro" queryTableFieldId="10" dataDxfId="63">
      <calculatedColumnFormula>D2-F2</calculatedColumnFormula>
    </tableColumn>
    <tableColumn id="9" xr3:uid="{3F70F442-695F-4891-A213-53239005EEF0}" uniqueName="9" name="Higher micro" queryTableFieldId="9" dataDxfId="62">
      <calculatedColumnFormula>H2-D2</calculatedColumnFormula>
    </tableColumn>
    <tableColumn id="6" xr3:uid="{E00315AE-7395-49EF-A31F-5F82EBB88B81}" uniqueName="6" name="IQR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D9233C3-713D-40C2-8795-41C536C7FDE3}" name="Signing_Scheme__41214" displayName="Signing_Scheme__41214" ref="A18:J23" tableType="queryTable" totalsRowShown="0">
  <autoFilter ref="A18:J23" xr:uid="{5210E3F2-FFE3-4DE1-90D2-C123424F4EDA}"/>
  <tableColumns count="10">
    <tableColumn id="1" xr3:uid="{497DC0D2-4EB2-4ADB-8D69-ED80099297EB}" uniqueName="1" name="Column1" queryTableFieldId="1" dataDxfId="61"/>
    <tableColumn id="2" xr3:uid="{0DE52001-0DB8-4D75-92D2-82590E571D19}" uniqueName="2" name="Column2" queryTableFieldId="2" dataDxfId="60"/>
    <tableColumn id="4" xr3:uid="{04A0966A-6527-4795-93B6-851077966C74}" uniqueName="4" name="Column3" queryTableFieldId="4"/>
    <tableColumn id="3" xr3:uid="{82A4D20B-9D32-48A7-A3B9-D769889D135A}" uniqueName="3" name="Column4" queryTableFieldId="3"/>
    <tableColumn id="5" xr3:uid="{74A5E23B-B3C7-4723-B9D2-10DF8E282D48}" uniqueName="5" name="Column5" queryTableFieldId="5"/>
    <tableColumn id="6" xr3:uid="{A8694023-7CCC-4AE6-920E-DF5672FF8A14}" uniqueName="6" name="Column6" queryTableFieldId="6"/>
    <tableColumn id="7" xr3:uid="{76C2229E-AD7F-4C04-9C05-B6898DE9D737}" uniqueName="7" name="Column7" queryTableFieldId="7"/>
    <tableColumn id="8" xr3:uid="{C47F821E-ED92-4415-80B0-4B4B8DA045D1}" uniqueName="8" name="Column8" queryTableFieldId="8"/>
    <tableColumn id="9" xr3:uid="{CE19DA53-DF5F-4B46-9310-CCD8B96D2169}" uniqueName="9" name="Column9" queryTableFieldId="9"/>
    <tableColumn id="10" xr3:uid="{227AA9A1-F800-4176-9EBB-E601CE40514E}" uniqueName="10" name="Column10" queryTableFieldId="1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C564878-E8D6-4435-B4E2-36453061C951}" name="Signing_Scheme6101318" displayName="Signing_Scheme6101318" ref="A1:K11" tableType="queryTable" totalsRowShown="0">
  <autoFilter ref="A1:K11" xr:uid="{90000F0A-EA36-4EE1-8918-78A8EF17BDD9}"/>
  <tableColumns count="11">
    <tableColumn id="1" xr3:uid="{97CBF6E9-D405-4E13-A4FF-06177FC08222}" uniqueName="1" name="Source.Name" queryTableFieldId="1" dataDxfId="108"/>
    <tableColumn id="2" xr3:uid="{E56624F8-1634-429E-ABB1-CB31480563D6}" uniqueName="2" name="metric" queryTableFieldId="2" dataDxfId="107"/>
    <tableColumn id="4" xr3:uid="{76562B2D-4EA2-4C69-B55E-BA03DB3096ED}" uniqueName="4" name="Median" queryTableFieldId="4" dataDxfId="106"/>
    <tableColumn id="11" xr3:uid="{EACCC5D9-0AE9-48C6-9225-3E56376B865C}" uniqueName="11" name="Median (μs)" queryTableFieldId="11" dataDxfId="105">
      <calculatedColumnFormula>C2</calculatedColumnFormula>
    </tableColumn>
    <tableColumn id="8" xr3:uid="{433C3490-D373-40B7-90F4-D1445C5D457B}" uniqueName="8" name="Q1" queryTableFieldId="8"/>
    <tableColumn id="14" xr3:uid="{606B15CE-4FB1-4E65-878F-BEAC3CF205E7}" uniqueName="14" name="Q1 micro" queryTableFieldId="14" dataDxfId="104">
      <calculatedColumnFormula>E2</calculatedColumnFormula>
    </tableColumn>
    <tableColumn id="5" xr3:uid="{AC347239-0B66-4BB7-A363-97C1701B8D7F}" uniqueName="5" name="Q3" queryTableFieldId="5"/>
    <tableColumn id="15" xr3:uid="{9E5B9396-F84B-44A7-82CA-91074F27CC72}" uniqueName="15" name="Q3 micro" queryTableFieldId="15" dataDxfId="103">
      <calculatedColumnFormula>G2</calculatedColumnFormula>
    </tableColumn>
    <tableColumn id="10" xr3:uid="{6F8442E4-E449-4204-8819-61F2458B9CA8}" uniqueName="10" name="Lower micro" queryTableFieldId="10" dataDxfId="102">
      <calculatedColumnFormula>D2-F2</calculatedColumnFormula>
    </tableColumn>
    <tableColumn id="9" xr3:uid="{D7EF1E4E-C095-4F27-A5BF-9611C18978DC}" uniqueName="9" name="Higher micro" queryTableFieldId="9" dataDxfId="101">
      <calculatedColumnFormula>H2-D2</calculatedColumnFormula>
    </tableColumn>
    <tableColumn id="6" xr3:uid="{700DB776-793D-43FC-BC33-ABB638CC0F05}" uniqueName="6" name="IQR" queryTableFieldId="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A941D3B-A4CF-4CAC-B24F-9D411163EBAF}" name="Signing_Scheme__4121419" displayName="Signing_Scheme__4121419" ref="A23:J28" tableType="queryTable" totalsRowShown="0">
  <autoFilter ref="A23:J28" xr:uid="{5210E3F2-FFE3-4DE1-90D2-C123424F4EDA}"/>
  <tableColumns count="10">
    <tableColumn id="1" xr3:uid="{67BBA4F1-A38B-4E5D-8858-12BE99E50EA4}" uniqueName="1" name="Column1" queryTableFieldId="1" dataDxfId="100"/>
    <tableColumn id="2" xr3:uid="{77651925-BBFF-4DEA-8C8D-D9D73B442088}" uniqueName="2" name="Column2" queryTableFieldId="2" dataDxfId="99"/>
    <tableColumn id="4" xr3:uid="{6FFC3DB0-D7B4-41B0-9D88-8CD49535848C}" uniqueName="4" name="Column3" queryTableFieldId="4"/>
    <tableColumn id="3" xr3:uid="{E9B0C584-79A9-44FE-A2B7-73A78050AC72}" uniqueName="3" name="Column4" queryTableFieldId="3"/>
    <tableColumn id="5" xr3:uid="{9ABDC04A-D086-48D4-826E-56DCD012AB7A}" uniqueName="5" name="Column5" queryTableFieldId="5"/>
    <tableColumn id="6" xr3:uid="{A425F6AE-762B-4ECD-A83A-EB5427DC5C0B}" uniqueName="6" name="Column6" queryTableFieldId="6"/>
    <tableColumn id="7" xr3:uid="{72E70DE6-7083-4A58-8960-E7FAFEE66BEB}" uniqueName="7" name="Column7" queryTableFieldId="7"/>
    <tableColumn id="8" xr3:uid="{6A72ACDF-4CBB-4453-B45F-20E4FD2C7B73}" uniqueName="8" name="Column8" queryTableFieldId="8"/>
    <tableColumn id="9" xr3:uid="{FA9CA6F0-B9C9-47DC-A3EB-C82B0D16C119}" uniqueName="9" name="Column9" queryTableFieldId="9"/>
    <tableColumn id="10" xr3:uid="{77196FEB-989F-4E03-8759-7A11A6BB9951}" uniqueName="10" name="Column10" queryTableField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F9193F-7C7E-4362-AB6F-A0B03A19CCA5}" name="Signing_Scheme610131824" displayName="Signing_Scheme610131824" ref="A1:K11" tableType="queryTable" totalsRowShown="0">
  <autoFilter ref="A1:K11" xr:uid="{90000F0A-EA36-4EE1-8918-78A8EF17BDD9}"/>
  <tableColumns count="11">
    <tableColumn id="1" xr3:uid="{C6D0B493-6E3E-49D3-8F31-52FE42E8C65A}" uniqueName="1" name="Source.Name" queryTableFieldId="1" dataDxfId="49"/>
    <tableColumn id="2" xr3:uid="{E4767CF7-A2CD-442F-B26D-54F6EB14C5F6}" uniqueName="2" name="metric" queryTableFieldId="2" dataDxfId="48"/>
    <tableColumn id="4" xr3:uid="{454721C5-2808-487F-B1B8-F8C8328A34EB}" uniqueName="4" name="Median" queryTableFieldId="4" dataDxfId="47"/>
    <tableColumn id="11" xr3:uid="{E8E5F483-B71E-415A-B0D2-829C3DEFCC1D}" uniqueName="11" name="Median (μs)" queryTableFieldId="11" dataDxfId="44">
      <calculatedColumnFormula>C2</calculatedColumnFormula>
    </tableColumn>
    <tableColumn id="8" xr3:uid="{D550F8B6-9F60-422A-B3B7-828692285BA8}" uniqueName="8" name="Q1" queryTableFieldId="8"/>
    <tableColumn id="14" xr3:uid="{5A7D0BA3-86E0-4595-89C2-C367B9E9A256}" uniqueName="14" name="Q1 micro" queryTableFieldId="14" dataDxfId="43">
      <calculatedColumnFormula>E2</calculatedColumnFormula>
    </tableColumn>
    <tableColumn id="5" xr3:uid="{DB18FDCD-8F54-48E5-A9EA-57B6890D5FC9}" uniqueName="5" name="Q3" queryTableFieldId="5"/>
    <tableColumn id="15" xr3:uid="{D6BE4404-6747-4CB7-A793-AC12ECD30B22}" uniqueName="15" name="Q3 micro" queryTableFieldId="15" dataDxfId="42">
      <calculatedColumnFormula>G2</calculatedColumnFormula>
    </tableColumn>
    <tableColumn id="10" xr3:uid="{E5DC3B2A-0C09-444D-A2BC-F134F2A2B8A5}" uniqueName="10" name="Lower micro" queryTableFieldId="10" dataDxfId="46">
      <calculatedColumnFormula>D2-F2</calculatedColumnFormula>
    </tableColumn>
    <tableColumn id="9" xr3:uid="{AA83A957-7055-49C3-9559-BC25ACDA64D9}" uniqueName="9" name="Higher micro" queryTableFieldId="9" dataDxfId="45">
      <calculatedColumnFormula>H2-D2</calculatedColumnFormula>
    </tableColumn>
    <tableColumn id="6" xr3:uid="{BFA903A6-446A-41B4-B895-7B4681D415CF}" uniqueName="6" name="IQR" queryTableFieldId="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EE3773-D623-4603-A66B-16FDCCA32F76}" name="Signing_Scheme61013182" displayName="Signing_Scheme61013182" ref="A1:K11" tableType="queryTable" totalsRowShown="0">
  <autoFilter ref="A1:K11" xr:uid="{90000F0A-EA36-4EE1-8918-78A8EF17BDD9}"/>
  <tableColumns count="11">
    <tableColumn id="1" xr3:uid="{AFE0F1C7-8054-4E26-A0D0-7E2DB911D861}" uniqueName="1" name="Source.Name" queryTableFieldId="1" dataDxfId="59"/>
    <tableColumn id="2" xr3:uid="{2704594D-F514-484C-BE5F-E9B8C3F3498F}" uniqueName="2" name="metric" queryTableFieldId="2" dataDxfId="58"/>
    <tableColumn id="4" xr3:uid="{8C80FCA2-8D7B-4E19-A333-C2A28C64DFBB}" uniqueName="4" name="Median" queryTableFieldId="4" dataDxfId="57"/>
    <tableColumn id="11" xr3:uid="{B908F702-97FB-4B4B-A91C-C4E163282FFC}" uniqueName="11" name="Median (μs)" queryTableFieldId="11" dataDxfId="51">
      <calculatedColumnFormula>C2*10</calculatedColumnFormula>
    </tableColumn>
    <tableColumn id="8" xr3:uid="{AE0D2019-F876-48F3-9503-6FAC2F6034B7}" uniqueName="8" name="Q1" queryTableFieldId="8"/>
    <tableColumn id="14" xr3:uid="{B6EDF894-DD5C-41A3-AE8C-3667F2A068FF}" uniqueName="14" name="Q1 micro" queryTableFieldId="14" dataDxfId="52">
      <calculatedColumnFormula>E2*10</calculatedColumnFormula>
    </tableColumn>
    <tableColumn id="5" xr3:uid="{00974710-E3AC-41F2-8C85-B1ABD1D77A96}" uniqueName="5" name="Q3" queryTableFieldId="5"/>
    <tableColumn id="15" xr3:uid="{7A69CD01-9F77-488F-B710-C226A001416D}" uniqueName="15" name="Q3 micro" queryTableFieldId="15" dataDxfId="50">
      <calculatedColumnFormula>G2*10</calculatedColumnFormula>
    </tableColumn>
    <tableColumn id="10" xr3:uid="{80D6A7EA-98FE-4FE1-A7D4-DB5E54D41842}" uniqueName="10" name="Lower micro" queryTableFieldId="10" dataDxfId="56">
      <calculatedColumnFormula>D2-F2</calculatedColumnFormula>
    </tableColumn>
    <tableColumn id="9" xr3:uid="{AA556C2B-BD9A-48A5-860A-69E1F7978834}" uniqueName="9" name="Higher micro" queryTableFieldId="9" dataDxfId="55">
      <calculatedColumnFormula>H2-D2</calculatedColumnFormula>
    </tableColumn>
    <tableColumn id="6" xr3:uid="{C179E475-07EC-49D0-8DA7-ED6758181A77}" uniqueName="6" name="IQR" queryTableFieldId="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9FD32E-D230-43E5-9969-B372F9FF0E4B}" name="Signing_Scheme__41214193" displayName="Signing_Scheme__41214193" ref="A23:J28" tableType="queryTable" totalsRowShown="0">
  <autoFilter ref="A23:J28" xr:uid="{5210E3F2-FFE3-4DE1-90D2-C123424F4EDA}"/>
  <tableColumns count="10">
    <tableColumn id="1" xr3:uid="{68AECE75-5DDB-4B62-A780-56AF968D05C9}" uniqueName="1" name="Column1" queryTableFieldId="1" dataDxfId="54"/>
    <tableColumn id="2" xr3:uid="{BC13B4B1-7A38-45BA-9BE4-40A376EA665C}" uniqueName="2" name="Column2" queryTableFieldId="2" dataDxfId="53"/>
    <tableColumn id="4" xr3:uid="{F89AD4C1-FDE0-40C1-8184-F7E3B9C2BE7D}" uniqueName="4" name="Column3" queryTableFieldId="4"/>
    <tableColumn id="3" xr3:uid="{954E02FC-D548-4D3D-B229-291321D7B42E}" uniqueName="3" name="Column4" queryTableFieldId="3"/>
    <tableColumn id="5" xr3:uid="{8D351382-7588-40FA-9349-C12C1C7A31BE}" uniqueName="5" name="Column5" queryTableFieldId="5"/>
    <tableColumn id="6" xr3:uid="{160879D2-FBE1-4A68-AE4B-B6B25CAF78EC}" uniqueName="6" name="Column6" queryTableFieldId="6"/>
    <tableColumn id="7" xr3:uid="{F5E120D1-B561-469F-9EF4-20049350BF74}" uniqueName="7" name="Column7" queryTableFieldId="7"/>
    <tableColumn id="8" xr3:uid="{4701BB25-4EC4-4A87-9A86-F73532BFF11E}" uniqueName="8" name="Column8" queryTableFieldId="8"/>
    <tableColumn id="9" xr3:uid="{E3297647-31AB-47CA-A51B-A6762104CC5F}" uniqueName="9" name="Column9" queryTableFieldId="9"/>
    <tableColumn id="10" xr3:uid="{BA61A7F9-EB54-4F2D-9521-D69D738E2488}" uniqueName="10" name="Column10" queryTableFieldId="10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48C537-551E-4C14-A137-78D49CF78767}" name="Signing_Scheme6101318248" displayName="Signing_Scheme6101318248" ref="A1:K11" tableType="queryTable" totalsRowShown="0">
  <autoFilter ref="A1:K11" xr:uid="{90000F0A-EA36-4EE1-8918-78A8EF17BDD9}"/>
  <tableColumns count="11">
    <tableColumn id="1" xr3:uid="{6D9E95EA-C71B-4848-B42A-0E925A8C34A1}" uniqueName="1" name="Source.Name" queryTableFieldId="1" dataDxfId="41"/>
    <tableColumn id="2" xr3:uid="{D09F758B-EEF0-4F3F-AAE6-172034DF625C}" uniqueName="2" name="metric" queryTableFieldId="2" dataDxfId="40"/>
    <tableColumn id="4" xr3:uid="{C07EF5BA-4DFF-4A86-86C2-D4E608ABF669}" uniqueName="4" name="Median" queryTableFieldId="4" dataDxfId="39"/>
    <tableColumn id="11" xr3:uid="{34EE52AF-9515-4EEB-A113-5C8488AFBB72}" uniqueName="11" name="Median (μs)" queryTableFieldId="11" dataDxfId="36">
      <calculatedColumnFormula>C2/1000000</calculatedColumnFormula>
    </tableColumn>
    <tableColumn id="8" xr3:uid="{A6109BD1-F42B-4541-970E-B5BB20EFF648}" uniqueName="8" name="Q1" queryTableFieldId="8"/>
    <tableColumn id="14" xr3:uid="{6DB49747-E92B-42A5-9C1E-1DE8334BC21D}" uniqueName="14" name="Q1 micro" queryTableFieldId="14" dataDxfId="35">
      <calculatedColumnFormula>E2/1000000</calculatedColumnFormula>
    </tableColumn>
    <tableColumn id="5" xr3:uid="{0C97BBDF-3687-4AD2-BEC5-B29FFA43CF46}" uniqueName="5" name="Q3" queryTableFieldId="5"/>
    <tableColumn id="15" xr3:uid="{6B455208-0282-4D3C-B14F-DCF9B7117C32}" uniqueName="15" name="Q3 micro" queryTableFieldId="15" dataDxfId="34">
      <calculatedColumnFormula>G2/1000000</calculatedColumnFormula>
    </tableColumn>
    <tableColumn id="10" xr3:uid="{A19A6C36-ED95-4CF4-A1FC-C94081704046}" uniqueName="10" name="Lower micro" queryTableFieldId="10" dataDxfId="38">
      <calculatedColumnFormula>D2-F2</calculatedColumnFormula>
    </tableColumn>
    <tableColumn id="9" xr3:uid="{B1164EED-EC55-4B14-B52B-6CCCA7A40584}" uniqueName="9" name="Higher micro" queryTableFieldId="9" dataDxfId="37">
      <calculatedColumnFormula>H2-D2</calculatedColumnFormula>
    </tableColumn>
    <tableColumn id="6" xr3:uid="{18CC3B81-416B-472C-8F81-7F905AAD970A}" uniqueName="6" name="IQR" queryTableFieldId="6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4F3B7B5-0BBA-4012-8B7C-776DBDF553C8}" name="Signing_Scheme611" displayName="Signing_Scheme611" ref="A1:K6" tableType="queryTable" totalsRowShown="0">
  <autoFilter ref="A1:K6" xr:uid="{90000F0A-EA36-4EE1-8918-78A8EF17BDD9}"/>
  <tableColumns count="11">
    <tableColumn id="1" xr3:uid="{BC7E561E-8E79-4CE2-A31C-21440061CAD1}" uniqueName="1" name="Source.Name" queryTableFieldId="1" dataDxfId="33"/>
    <tableColumn id="2" xr3:uid="{6E65CD26-3D1A-48EB-B9BB-459B5213ACD7}" uniqueName="2" name="metric" queryTableFieldId="2" dataDxfId="32"/>
    <tableColumn id="4" xr3:uid="{EEA964DF-D362-41EC-B0D8-E5E70BF6E4DA}" uniqueName="4" name="Median" queryTableFieldId="4" dataDxfId="31"/>
    <tableColumn id="11" xr3:uid="{5AF6767A-67EA-4E50-B2A7-5E06F7310F72}" uniqueName="11" name="Median (μs)" queryTableFieldId="11" dataDxfId="26">
      <calculatedColumnFormula>C2</calculatedColumnFormula>
    </tableColumn>
    <tableColumn id="8" xr3:uid="{62D6A3DF-6B64-4946-ACC3-2AE2EE1C1FEA}" uniqueName="8" name="Q1" queryTableFieldId="8"/>
    <tableColumn id="14" xr3:uid="{A56215FE-465A-468B-8671-D94E4A49A3B5}" uniqueName="14" name="Q1 micro" queryTableFieldId="14" dataDxfId="28">
      <calculatedColumnFormula>E2</calculatedColumnFormula>
    </tableColumn>
    <tableColumn id="5" xr3:uid="{A149A6AB-D703-4D89-908C-6B763238D4DF}" uniqueName="5" name="Q3" queryTableFieldId="5"/>
    <tableColumn id="15" xr3:uid="{48AACA3F-BA92-4F19-AD2A-97B8C4E18808}" uniqueName="15" name="Q3 micro" queryTableFieldId="15" dataDxfId="27">
      <calculatedColumnFormula>G2</calculatedColumnFormula>
    </tableColumn>
    <tableColumn id="10" xr3:uid="{D1B6F7A5-38D6-417E-A22D-F000DF1AB8B8}" uniqueName="10" name="Lower micro" queryTableFieldId="10" dataDxfId="30">
      <calculatedColumnFormula>D2-F2</calculatedColumnFormula>
    </tableColumn>
    <tableColumn id="9" xr3:uid="{2B26FC8A-1CD6-453F-9476-B20AE1A1BD2D}" uniqueName="9" name="Higher micro" queryTableFieldId="9" dataDxfId="29">
      <calculatedColumnFormula>H2-D2</calculatedColumnFormula>
    </tableColumn>
    <tableColumn id="6" xr3:uid="{50323E26-C4DC-4175-97C9-A922DB3C670D}" uniqueName="6" name="IQR" queryTableFieldId="6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A96B962-99DA-40F8-AF1E-E69BE4C9D576}" name="Signing_Scheme61116" displayName="Signing_Scheme61116" ref="A1:K6" tableType="queryTable" totalsRowShown="0">
  <autoFilter ref="A1:K6" xr:uid="{90000F0A-EA36-4EE1-8918-78A8EF17BDD9}"/>
  <tableColumns count="11">
    <tableColumn id="1" xr3:uid="{3D6714E3-A6AB-4B93-9425-EF648AD30EDD}" uniqueName="1" name="Source.Name" queryTableFieldId="1" dataDxfId="25"/>
    <tableColumn id="2" xr3:uid="{D3A1B576-E747-4F0C-ADCB-C1DA066EF2CA}" uniqueName="2" name="metric" queryTableFieldId="2" dataDxfId="24"/>
    <tableColumn id="4" xr3:uid="{914264F7-8612-4701-8A61-39C9422B7563}" uniqueName="4" name="Median" queryTableFieldId="4" dataDxfId="23"/>
    <tableColumn id="11" xr3:uid="{796E7273-AFB8-4AE1-B44C-368BFA8CCFA9}" uniqueName="11" name="Median (μs)" queryTableFieldId="11" dataDxfId="22">
      <calculatedColumnFormula>C2</calculatedColumnFormula>
    </tableColumn>
    <tableColumn id="8" xr3:uid="{E380B30B-07D7-4119-9F80-E5CFA3FA61CD}" uniqueName="8" name="Q1" queryTableFieldId="8"/>
    <tableColumn id="14" xr3:uid="{7FA8317B-882B-4B23-A9F9-455F393CFB88}" uniqueName="14" name="Q1 micro" queryTableFieldId="14" dataDxfId="21">
      <calculatedColumnFormula>E2</calculatedColumnFormula>
    </tableColumn>
    <tableColumn id="5" xr3:uid="{AA6178A5-8A06-4278-A87F-CB09576E2EF0}" uniqueName="5" name="Q3" queryTableFieldId="5"/>
    <tableColumn id="15" xr3:uid="{3F345B34-6444-4E04-A8BF-EE7AF6026968}" uniqueName="15" name="Q3 micro" queryTableFieldId="15" dataDxfId="20">
      <calculatedColumnFormula>G2</calculatedColumnFormula>
    </tableColumn>
    <tableColumn id="10" xr3:uid="{29A0FB05-BE47-4123-A309-DDF78E5AECF6}" uniqueName="10" name="Lower micro" queryTableFieldId="10" dataDxfId="19">
      <calculatedColumnFormula>D2-F2</calculatedColumnFormula>
    </tableColumn>
    <tableColumn id="9" xr3:uid="{423758C5-51DD-489B-8574-5D24055EC405}" uniqueName="9" name="Higher micro" queryTableFieldId="9" dataDxfId="18">
      <calculatedColumnFormula>H2-D2</calculatedColumnFormula>
    </tableColumn>
    <tableColumn id="6" xr3:uid="{8A64F187-9E7B-44E8-866F-24D309C18FF8}" uniqueName="6" name="IQR" queryTableFieldId="6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A0F367C-5166-4132-996D-D45D22411C18}" name="Signing_Scheme61117" displayName="Signing_Scheme61117" ref="A1:K6" tableType="queryTable" totalsRowShown="0">
  <autoFilter ref="A1:K6" xr:uid="{90000F0A-EA36-4EE1-8918-78A8EF17BDD9}"/>
  <tableColumns count="11">
    <tableColumn id="1" xr3:uid="{FD6F45F4-113D-41CB-8031-1E5068DF652E}" uniqueName="1" name="Source.Name" queryTableFieldId="1" dataDxfId="17"/>
    <tableColumn id="2" xr3:uid="{06C5AA98-F1D4-4A9F-9E01-739987F555C8}" uniqueName="2" name="metric" queryTableFieldId="2" dataDxfId="16"/>
    <tableColumn id="4" xr3:uid="{650B5C1A-4F89-4985-A02F-E7E18E837792}" uniqueName="4" name="Median" queryTableFieldId="4" dataDxfId="15"/>
    <tableColumn id="11" xr3:uid="{756DEF6B-F173-4F72-B32B-4B2CB7A938F1}" uniqueName="11" name="Median (μs)" queryTableFieldId="11" dataDxfId="14">
      <calculatedColumnFormula>C2</calculatedColumnFormula>
    </tableColumn>
    <tableColumn id="8" xr3:uid="{9E5E22B8-F8F8-46BA-B83F-F5FA7625F10A}" uniqueName="8" name="Q1" queryTableFieldId="8"/>
    <tableColumn id="14" xr3:uid="{731DA4BA-44F5-40DC-9CCB-E26276433C10}" uniqueName="14" name="Q1 micro" queryTableFieldId="14" dataDxfId="13">
      <calculatedColumnFormula>E2</calculatedColumnFormula>
    </tableColumn>
    <tableColumn id="5" xr3:uid="{9FED35DF-635A-46BD-8171-7660CFE0D02E}" uniqueName="5" name="Q3" queryTableFieldId="5"/>
    <tableColumn id="15" xr3:uid="{1737FF53-39AA-45D7-8B8B-427721E6DF0B}" uniqueName="15" name="Q3 micro" queryTableFieldId="15" dataDxfId="12">
      <calculatedColumnFormula>G2</calculatedColumnFormula>
    </tableColumn>
    <tableColumn id="10" xr3:uid="{CC55AC7B-6154-4472-AEE4-7E7E26850720}" uniqueName="10" name="Lower micro" queryTableFieldId="10" dataDxfId="11">
      <calculatedColumnFormula>D2-F2</calculatedColumnFormula>
    </tableColumn>
    <tableColumn id="9" xr3:uid="{0591F780-CCA5-4D81-9169-51FEBA3F98B9}" uniqueName="9" name="Higher micro" queryTableFieldId="9" dataDxfId="10">
      <calculatedColumnFormula>H2-D2</calculatedColumnFormula>
    </tableColumn>
    <tableColumn id="6" xr3:uid="{68A71467-18D1-456A-969B-89A4C53815EE}" uniqueName="6" name="IQR" queryTableFieldId="6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AE0995B-3E15-45D9-AF94-4E8BC7348B35}" name="Signing_Scheme6111722" displayName="Signing_Scheme6111722" ref="A1:K6" tableType="queryTable" totalsRowShown="0">
  <autoFilter ref="A1:K6" xr:uid="{90000F0A-EA36-4EE1-8918-78A8EF17BDD9}"/>
  <tableColumns count="11">
    <tableColumn id="1" xr3:uid="{31E6D760-BE66-44A4-B187-8D8A5DC3D42F}" uniqueName="1" name="Source.Name" queryTableFieldId="1" dataDxfId="7"/>
    <tableColumn id="2" xr3:uid="{758FC2AE-9019-468F-89CA-42795B16A713}" uniqueName="2" name="metric" queryTableFieldId="2" dataDxfId="6"/>
    <tableColumn id="4" xr3:uid="{E7C4ED17-D72D-4470-BC9D-B2868B907380}" uniqueName="4" name="Median" queryTableFieldId="4" dataDxfId="5"/>
    <tableColumn id="11" xr3:uid="{19D8950C-CB5B-4E38-A946-FAF7423924B4}" uniqueName="11" name="Median (μs)" queryTableFieldId="11" dataDxfId="4">
      <calculatedColumnFormula>C2</calculatedColumnFormula>
    </tableColumn>
    <tableColumn id="8" xr3:uid="{0A0BDBEA-3A0F-4CF1-B78D-3A01BE460F8B}" uniqueName="8" name="Q1" queryTableFieldId="8"/>
    <tableColumn id="14" xr3:uid="{F370D233-A7C7-46DA-BC50-FE07490672D2}" uniqueName="14" name="Q1 micro" queryTableFieldId="14" dataDxfId="1">
      <calculatedColumnFormula>E2/1000000</calculatedColumnFormula>
    </tableColumn>
    <tableColumn id="5" xr3:uid="{8D350EBC-9039-4D4C-B599-CF83DFBE506B}" uniqueName="5" name="Q3" queryTableFieldId="5"/>
    <tableColumn id="15" xr3:uid="{9336FD3F-DCDC-4B48-94C9-9BFA7404696F}" uniqueName="15" name="Q3 micro" queryTableFieldId="15" dataDxfId="0">
      <calculatedColumnFormula>G2/1000000</calculatedColumnFormula>
    </tableColumn>
    <tableColumn id="10" xr3:uid="{EF3E4668-0445-4CE7-8E8C-81240B09E477}" uniqueName="10" name="Lower micro" queryTableFieldId="10" dataDxfId="3">
      <calculatedColumnFormula>D2-F2</calculatedColumnFormula>
    </tableColumn>
    <tableColumn id="9" xr3:uid="{EC35BDCC-E0C6-494A-B194-17E58E426DD2}" uniqueName="9" name="Higher micro" queryTableFieldId="9" dataDxfId="2">
      <calculatedColumnFormula>H2-D2</calculatedColumnFormula>
    </tableColumn>
    <tableColumn id="6" xr3:uid="{3A678546-B57A-4A57-919B-0777A06DCADF}" uniqueName="6" name="IQR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879FD3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FA7A-1F06-4DC8-BA05-BF764F02838F}">
  <dimension ref="A1:J26"/>
  <sheetViews>
    <sheetView workbookViewId="0">
      <selection activeCell="A25" activeCellId="4" sqref="A5:XFD5 A10:XFD10 A15:XFD15 A20:XFD20 A25:XFD25"/>
    </sheetView>
  </sheetViews>
  <sheetFormatPr defaultRowHeight="15" x14ac:dyDescent="0.25"/>
  <cols>
    <col min="1" max="1" width="36.28515625" bestFit="1" customWidth="1"/>
    <col min="2" max="2" width="29.7109375" bestFit="1" customWidth="1"/>
    <col min="4" max="4" width="10" bestFit="1" customWidth="1"/>
    <col min="5" max="6" width="12" bestFit="1" customWidth="1"/>
    <col min="7" max="7" width="6" bestFit="1" customWidth="1"/>
    <col min="8" max="9" width="12" bestFit="1" customWidth="1"/>
    <col min="10" max="11" width="10" bestFit="1" customWidth="1"/>
  </cols>
  <sheetData>
    <row r="1" spans="1:10" x14ac:dyDescent="0.25">
      <c r="A1" t="s">
        <v>18</v>
      </c>
      <c r="B1" t="s">
        <v>0</v>
      </c>
      <c r="C1" t="s">
        <v>2</v>
      </c>
      <c r="D1" t="s">
        <v>1</v>
      </c>
      <c r="E1" t="s">
        <v>3</v>
      </c>
      <c r="F1" t="s">
        <v>4</v>
      </c>
      <c r="G1" t="s">
        <v>42</v>
      </c>
      <c r="H1" t="s">
        <v>43</v>
      </c>
      <c r="I1" t="s">
        <v>44</v>
      </c>
      <c r="J1" t="s">
        <v>45</v>
      </c>
    </row>
    <row r="2" spans="1:10" x14ac:dyDescent="0.25">
      <c r="A2" s="3" t="s">
        <v>19</v>
      </c>
      <c r="B2" s="3" t="s">
        <v>13</v>
      </c>
      <c r="C2">
        <v>7679</v>
      </c>
      <c r="D2">
        <v>7679</v>
      </c>
      <c r="E2">
        <v>7679</v>
      </c>
      <c r="F2">
        <v>0</v>
      </c>
      <c r="G2">
        <v>7679</v>
      </c>
      <c r="H2">
        <v>0</v>
      </c>
      <c r="I2">
        <v>7679</v>
      </c>
      <c r="J2">
        <v>7679</v>
      </c>
    </row>
    <row r="3" spans="1:10" x14ac:dyDescent="0.25">
      <c r="A3" s="3" t="s">
        <v>19</v>
      </c>
      <c r="B3" s="3" t="s">
        <v>56</v>
      </c>
      <c r="C3">
        <v>6367</v>
      </c>
      <c r="D3">
        <v>6367</v>
      </c>
      <c r="E3">
        <v>6367</v>
      </c>
      <c r="F3">
        <v>0</v>
      </c>
      <c r="G3">
        <v>6367</v>
      </c>
      <c r="H3">
        <v>0</v>
      </c>
      <c r="I3">
        <v>6367</v>
      </c>
      <c r="J3">
        <v>6367</v>
      </c>
    </row>
    <row r="4" spans="1:10" x14ac:dyDescent="0.25">
      <c r="A4" s="3" t="s">
        <v>19</v>
      </c>
      <c r="B4" s="3" t="s">
        <v>14</v>
      </c>
      <c r="C4">
        <v>791646262</v>
      </c>
      <c r="D4">
        <v>791646262</v>
      </c>
      <c r="E4">
        <v>791646262</v>
      </c>
      <c r="F4">
        <v>0</v>
      </c>
      <c r="G4">
        <v>791646262</v>
      </c>
      <c r="H4">
        <v>0</v>
      </c>
      <c r="I4">
        <v>791646262</v>
      </c>
      <c r="J4">
        <v>791646262</v>
      </c>
    </row>
    <row r="5" spans="1:10" x14ac:dyDescent="0.25">
      <c r="A5" s="3" t="s">
        <v>19</v>
      </c>
      <c r="B5" s="3" t="s">
        <v>57</v>
      </c>
      <c r="C5">
        <v>660446262</v>
      </c>
      <c r="D5">
        <v>660446262</v>
      </c>
      <c r="E5">
        <v>660446262</v>
      </c>
      <c r="F5">
        <v>0</v>
      </c>
      <c r="G5">
        <v>660446262</v>
      </c>
      <c r="H5">
        <v>0</v>
      </c>
      <c r="I5">
        <v>660446262</v>
      </c>
      <c r="J5">
        <v>660446262</v>
      </c>
    </row>
    <row r="6" spans="1:10" x14ac:dyDescent="0.25">
      <c r="A6" s="3" t="s">
        <v>19</v>
      </c>
      <c r="B6" s="3" t="s">
        <v>58</v>
      </c>
      <c r="C6">
        <v>1312</v>
      </c>
      <c r="D6">
        <v>1312</v>
      </c>
      <c r="E6">
        <v>1312</v>
      </c>
      <c r="F6">
        <v>0</v>
      </c>
      <c r="G6">
        <v>1312</v>
      </c>
      <c r="H6">
        <v>0</v>
      </c>
      <c r="I6">
        <v>1312</v>
      </c>
      <c r="J6">
        <v>1312</v>
      </c>
    </row>
    <row r="7" spans="1:10" x14ac:dyDescent="0.25">
      <c r="A7" s="3" t="s">
        <v>20</v>
      </c>
      <c r="B7" s="3" t="s">
        <v>13</v>
      </c>
      <c r="C7">
        <v>7917</v>
      </c>
      <c r="D7">
        <v>7916</v>
      </c>
      <c r="E7">
        <v>7918</v>
      </c>
      <c r="F7">
        <v>2</v>
      </c>
      <c r="G7">
        <v>7917</v>
      </c>
      <c r="H7">
        <v>1.0540925533894598</v>
      </c>
      <c r="I7">
        <v>7916</v>
      </c>
      <c r="J7">
        <v>7918</v>
      </c>
    </row>
    <row r="8" spans="1:10" x14ac:dyDescent="0.25">
      <c r="A8" s="3" t="s">
        <v>20</v>
      </c>
      <c r="B8" s="3" t="s">
        <v>56</v>
      </c>
      <c r="C8">
        <v>6572</v>
      </c>
      <c r="D8">
        <v>6571</v>
      </c>
      <c r="E8">
        <v>6573</v>
      </c>
      <c r="F8">
        <v>2</v>
      </c>
      <c r="G8">
        <v>6572</v>
      </c>
      <c r="H8">
        <v>1.0540925533894598</v>
      </c>
      <c r="I8">
        <v>6571</v>
      </c>
      <c r="J8">
        <v>6573</v>
      </c>
    </row>
    <row r="9" spans="1:10" x14ac:dyDescent="0.25">
      <c r="A9" s="3" t="s">
        <v>20</v>
      </c>
      <c r="B9" s="3" t="s">
        <v>14</v>
      </c>
      <c r="C9">
        <v>815444957</v>
      </c>
      <c r="D9">
        <v>815444789.5</v>
      </c>
      <c r="E9">
        <v>815445043</v>
      </c>
      <c r="F9">
        <v>253.5</v>
      </c>
      <c r="G9">
        <v>815444889.20000005</v>
      </c>
      <c r="H9">
        <v>262.04020047822183</v>
      </c>
      <c r="I9">
        <v>815444460</v>
      </c>
      <c r="J9">
        <v>815445214</v>
      </c>
    </row>
    <row r="10" spans="1:10" x14ac:dyDescent="0.25">
      <c r="A10" s="3" t="s">
        <v>20</v>
      </c>
      <c r="B10" s="3" t="s">
        <v>57</v>
      </c>
      <c r="C10">
        <v>680944957</v>
      </c>
      <c r="D10">
        <v>680944789.5</v>
      </c>
      <c r="E10">
        <v>680945043</v>
      </c>
      <c r="F10">
        <v>253.5</v>
      </c>
      <c r="G10">
        <v>680944889.20000005</v>
      </c>
      <c r="H10">
        <v>262.04020047822183</v>
      </c>
      <c r="I10">
        <v>680944460</v>
      </c>
      <c r="J10">
        <v>680945214</v>
      </c>
    </row>
    <row r="11" spans="1:10" x14ac:dyDescent="0.25">
      <c r="A11" s="3" t="s">
        <v>20</v>
      </c>
      <c r="B11" s="3" t="s">
        <v>58</v>
      </c>
      <c r="C11">
        <v>1345</v>
      </c>
      <c r="D11">
        <v>1345</v>
      </c>
      <c r="E11">
        <v>1345</v>
      </c>
      <c r="F11">
        <v>0</v>
      </c>
      <c r="G11">
        <v>1345</v>
      </c>
      <c r="H11">
        <v>0</v>
      </c>
      <c r="I11">
        <v>1345</v>
      </c>
      <c r="J11">
        <v>1345</v>
      </c>
    </row>
    <row r="12" spans="1:10" x14ac:dyDescent="0.25">
      <c r="A12" s="3" t="s">
        <v>21</v>
      </c>
      <c r="B12" s="3" t="s">
        <v>13</v>
      </c>
      <c r="C12">
        <v>3559</v>
      </c>
      <c r="D12">
        <v>3554</v>
      </c>
      <c r="E12">
        <v>3560.5</v>
      </c>
      <c r="F12">
        <v>6.5</v>
      </c>
      <c r="G12">
        <v>3558.4</v>
      </c>
      <c r="H12">
        <v>5.3374983736661585</v>
      </c>
      <c r="I12">
        <v>3551</v>
      </c>
      <c r="J12">
        <v>3569</v>
      </c>
    </row>
    <row r="13" spans="1:10" x14ac:dyDescent="0.25">
      <c r="A13" s="3" t="s">
        <v>21</v>
      </c>
      <c r="B13" s="3" t="s">
        <v>56</v>
      </c>
      <c r="C13">
        <v>2629</v>
      </c>
      <c r="D13">
        <v>2624</v>
      </c>
      <c r="E13">
        <v>2630.5</v>
      </c>
      <c r="F13">
        <v>6.5</v>
      </c>
      <c r="G13">
        <v>2628.4</v>
      </c>
      <c r="H13">
        <v>5.3374983736661585</v>
      </c>
      <c r="I13">
        <v>2621</v>
      </c>
      <c r="J13">
        <v>2639</v>
      </c>
    </row>
    <row r="14" spans="1:10" x14ac:dyDescent="0.25">
      <c r="A14" s="3" t="s">
        <v>21</v>
      </c>
      <c r="B14" s="3" t="s">
        <v>14</v>
      </c>
      <c r="C14">
        <v>379555289</v>
      </c>
      <c r="D14">
        <v>379554890.5</v>
      </c>
      <c r="E14">
        <v>379555357.5</v>
      </c>
      <c r="F14">
        <v>467</v>
      </c>
      <c r="G14">
        <v>379555403.19999999</v>
      </c>
      <c r="H14">
        <v>1207.6173786979605</v>
      </c>
      <c r="I14">
        <v>379553638</v>
      </c>
      <c r="J14">
        <v>379558046</v>
      </c>
    </row>
    <row r="15" spans="1:10" x14ac:dyDescent="0.25">
      <c r="A15" s="3" t="s">
        <v>21</v>
      </c>
      <c r="B15" s="3" t="s">
        <v>57</v>
      </c>
      <c r="C15">
        <v>286555289</v>
      </c>
      <c r="D15">
        <v>286554890.5</v>
      </c>
      <c r="E15">
        <v>286555357.5</v>
      </c>
      <c r="F15">
        <v>467</v>
      </c>
      <c r="G15">
        <v>286555403.19999999</v>
      </c>
      <c r="H15">
        <v>1207.6173786979605</v>
      </c>
      <c r="I15">
        <v>286553638</v>
      </c>
      <c r="J15">
        <v>286558046</v>
      </c>
    </row>
    <row r="16" spans="1:10" x14ac:dyDescent="0.25">
      <c r="A16" s="3" t="s">
        <v>21</v>
      </c>
      <c r="B16" s="3" t="s">
        <v>58</v>
      </c>
      <c r="C16">
        <v>930</v>
      </c>
      <c r="D16">
        <v>930</v>
      </c>
      <c r="E16">
        <v>930</v>
      </c>
      <c r="F16">
        <v>0</v>
      </c>
      <c r="G16">
        <v>930</v>
      </c>
      <c r="H16">
        <v>0</v>
      </c>
      <c r="I16">
        <v>930</v>
      </c>
      <c r="J16">
        <v>930</v>
      </c>
    </row>
    <row r="17" spans="1:10" x14ac:dyDescent="0.25">
      <c r="A17" s="3" t="s">
        <v>22</v>
      </c>
      <c r="B17" s="3" t="s">
        <v>13</v>
      </c>
      <c r="C17">
        <v>434</v>
      </c>
      <c r="D17">
        <v>434</v>
      </c>
      <c r="E17">
        <v>434</v>
      </c>
      <c r="F17">
        <v>0</v>
      </c>
      <c r="G17">
        <v>434.4</v>
      </c>
      <c r="H17">
        <v>0.84327404271156781</v>
      </c>
      <c r="I17">
        <v>434</v>
      </c>
      <c r="J17">
        <v>436</v>
      </c>
    </row>
    <row r="18" spans="1:10" x14ac:dyDescent="0.25">
      <c r="A18" s="3" t="s">
        <v>22</v>
      </c>
      <c r="B18" s="3" t="s">
        <v>56</v>
      </c>
      <c r="C18">
        <v>401</v>
      </c>
      <c r="D18">
        <v>401</v>
      </c>
      <c r="E18">
        <v>401</v>
      </c>
      <c r="F18">
        <v>0</v>
      </c>
      <c r="G18">
        <v>401.4</v>
      </c>
      <c r="H18">
        <v>0.84327404271156781</v>
      </c>
      <c r="I18">
        <v>401</v>
      </c>
      <c r="J18">
        <v>403</v>
      </c>
    </row>
    <row r="19" spans="1:10" x14ac:dyDescent="0.25">
      <c r="A19" s="3" t="s">
        <v>22</v>
      </c>
      <c r="B19" s="3" t="s">
        <v>14</v>
      </c>
      <c r="C19">
        <v>67245000</v>
      </c>
      <c r="D19">
        <v>67244965</v>
      </c>
      <c r="E19">
        <v>67245212</v>
      </c>
      <c r="F19">
        <v>247</v>
      </c>
      <c r="G19">
        <v>67245132.400000006</v>
      </c>
      <c r="H19">
        <v>351.47789562234368</v>
      </c>
      <c r="I19">
        <v>67244694</v>
      </c>
      <c r="J19">
        <v>67245888</v>
      </c>
    </row>
    <row r="20" spans="1:10" x14ac:dyDescent="0.25">
      <c r="A20" s="3" t="s">
        <v>22</v>
      </c>
      <c r="B20" s="3" t="s">
        <v>57</v>
      </c>
      <c r="C20">
        <v>63945000</v>
      </c>
      <c r="D20">
        <v>63944965</v>
      </c>
      <c r="E20">
        <v>63945212</v>
      </c>
      <c r="F20">
        <v>247</v>
      </c>
      <c r="G20">
        <v>63945132.399999999</v>
      </c>
      <c r="H20">
        <v>351.47789562234368</v>
      </c>
      <c r="I20">
        <v>63944694</v>
      </c>
      <c r="J20">
        <v>63945888</v>
      </c>
    </row>
    <row r="21" spans="1:10" x14ac:dyDescent="0.25">
      <c r="A21" s="3" t="s">
        <v>22</v>
      </c>
      <c r="B21" s="3" t="s">
        <v>58</v>
      </c>
      <c r="C21">
        <v>33</v>
      </c>
      <c r="D21">
        <v>33</v>
      </c>
      <c r="E21">
        <v>33</v>
      </c>
      <c r="F21">
        <v>0</v>
      </c>
      <c r="G21">
        <v>33</v>
      </c>
      <c r="H21">
        <v>0</v>
      </c>
      <c r="I21">
        <v>33</v>
      </c>
      <c r="J21">
        <v>33</v>
      </c>
    </row>
    <row r="22" spans="1:10" x14ac:dyDescent="0.25">
      <c r="A22" s="3" t="s">
        <v>41</v>
      </c>
      <c r="B22" s="3" t="s">
        <v>13</v>
      </c>
      <c r="C22">
        <v>3319</v>
      </c>
      <c r="D22">
        <v>3316.5</v>
      </c>
      <c r="E22">
        <v>3322</v>
      </c>
      <c r="F22">
        <v>5.5</v>
      </c>
      <c r="G22">
        <v>3319.4</v>
      </c>
      <c r="H22">
        <v>4.7187568984497039</v>
      </c>
      <c r="I22">
        <v>3312</v>
      </c>
      <c r="J22">
        <v>3326</v>
      </c>
    </row>
    <row r="23" spans="1:10" x14ac:dyDescent="0.25">
      <c r="A23" s="3" t="s">
        <v>41</v>
      </c>
      <c r="B23" s="3" t="s">
        <v>56</v>
      </c>
      <c r="C23">
        <v>2422</v>
      </c>
      <c r="D23">
        <v>2419.5</v>
      </c>
      <c r="E23">
        <v>2425</v>
      </c>
      <c r="F23">
        <v>5.5</v>
      </c>
      <c r="G23">
        <v>2422.4</v>
      </c>
      <c r="H23">
        <v>4.7187568984497039</v>
      </c>
      <c r="I23">
        <v>2415</v>
      </c>
      <c r="J23">
        <v>2429</v>
      </c>
    </row>
    <row r="24" spans="1:10" x14ac:dyDescent="0.25">
      <c r="A24" s="3" t="s">
        <v>41</v>
      </c>
      <c r="B24" s="3" t="s">
        <v>14</v>
      </c>
      <c r="C24">
        <v>355756371</v>
      </c>
      <c r="D24">
        <v>355755723</v>
      </c>
      <c r="E24">
        <v>355757118</v>
      </c>
      <c r="F24">
        <v>1395</v>
      </c>
      <c r="G24">
        <v>355756160.80000001</v>
      </c>
      <c r="H24">
        <v>1378.5684039772725</v>
      </c>
      <c r="I24">
        <v>355753290</v>
      </c>
      <c r="J24">
        <v>355757816</v>
      </c>
    </row>
    <row r="25" spans="1:10" x14ac:dyDescent="0.25">
      <c r="A25" s="3" t="s">
        <v>41</v>
      </c>
      <c r="B25" s="3" t="s">
        <v>57</v>
      </c>
      <c r="C25">
        <v>266056371</v>
      </c>
      <c r="D25">
        <v>266055723</v>
      </c>
      <c r="E25">
        <v>266057118</v>
      </c>
      <c r="F25">
        <v>1395</v>
      </c>
      <c r="G25">
        <v>266056160.80000001</v>
      </c>
      <c r="H25">
        <v>1378.5684039772725</v>
      </c>
      <c r="I25">
        <v>266053290</v>
      </c>
      <c r="J25">
        <v>266057816</v>
      </c>
    </row>
    <row r="26" spans="1:10" x14ac:dyDescent="0.25">
      <c r="A26" s="3" t="s">
        <v>41</v>
      </c>
      <c r="B26" s="3" t="s">
        <v>58</v>
      </c>
      <c r="C26">
        <v>897</v>
      </c>
      <c r="D26">
        <v>897</v>
      </c>
      <c r="E26">
        <v>897</v>
      </c>
      <c r="F26">
        <v>0</v>
      </c>
      <c r="G26">
        <v>897</v>
      </c>
      <c r="H26">
        <v>0</v>
      </c>
      <c r="I26">
        <v>897</v>
      </c>
      <c r="J26">
        <v>897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1C513-FFDF-4F85-980B-89377D90093F}">
  <dimension ref="A1"/>
  <sheetViews>
    <sheetView workbookViewId="0">
      <selection activeCell="B1" sqref="B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3F84-1B43-46AF-8BF5-CA847A901478}">
  <dimension ref="A1:L81"/>
  <sheetViews>
    <sheetView topLeftCell="A31" zoomScaleNormal="100" workbookViewId="0">
      <selection activeCell="L77" sqref="L77:L81"/>
    </sheetView>
  </sheetViews>
  <sheetFormatPr defaultRowHeight="15" x14ac:dyDescent="0.25"/>
  <cols>
    <col min="1" max="1" width="36.28515625" bestFit="1" customWidth="1"/>
    <col min="2" max="2" width="27" bestFit="1" customWidth="1"/>
    <col min="3" max="11" width="12" bestFit="1" customWidth="1"/>
  </cols>
  <sheetData>
    <row r="1" spans="1:10" x14ac:dyDescent="0.25">
      <c r="A1" t="s">
        <v>18</v>
      </c>
      <c r="B1" t="s">
        <v>0</v>
      </c>
      <c r="C1" t="s">
        <v>2</v>
      </c>
      <c r="D1" t="s">
        <v>1</v>
      </c>
      <c r="E1" t="s">
        <v>3</v>
      </c>
      <c r="F1" t="s">
        <v>4</v>
      </c>
      <c r="G1" t="s">
        <v>42</v>
      </c>
      <c r="H1" t="s">
        <v>43</v>
      </c>
      <c r="I1" t="s">
        <v>44</v>
      </c>
      <c r="J1" t="s">
        <v>45</v>
      </c>
    </row>
    <row r="2" spans="1:10" x14ac:dyDescent="0.25">
      <c r="A2" t="s">
        <v>19</v>
      </c>
      <c r="B2" t="s">
        <v>5</v>
      </c>
      <c r="C2">
        <v>24.051550599999999</v>
      </c>
      <c r="D2">
        <v>23.927536775</v>
      </c>
      <c r="E2">
        <v>24.408287824999999</v>
      </c>
      <c r="F2">
        <v>0.48075104999999851</v>
      </c>
      <c r="G2">
        <v>24.130797080000001</v>
      </c>
      <c r="H2">
        <v>0.33810563631492357</v>
      </c>
      <c r="I2">
        <v>23.668103299999999</v>
      </c>
      <c r="J2">
        <v>24.642064999999999</v>
      </c>
    </row>
    <row r="3" spans="1:10" x14ac:dyDescent="0.25">
      <c r="A3" t="s">
        <v>19</v>
      </c>
      <c r="B3" t="s">
        <v>6</v>
      </c>
      <c r="C3">
        <v>5.4436561000000001</v>
      </c>
      <c r="D3">
        <v>5.403410375</v>
      </c>
      <c r="E3">
        <v>5.5232916999999997</v>
      </c>
      <c r="F3">
        <v>0.11988132499999971</v>
      </c>
      <c r="G3">
        <v>5.4572102899999999</v>
      </c>
      <c r="H3">
        <v>6.8045597131701899E-2</v>
      </c>
      <c r="I3">
        <v>5.3678457999999996</v>
      </c>
      <c r="J3">
        <v>5.5519477999999998</v>
      </c>
    </row>
    <row r="4" spans="1:10" x14ac:dyDescent="0.25">
      <c r="A4" t="s">
        <v>19</v>
      </c>
      <c r="B4" t="s">
        <v>7</v>
      </c>
      <c r="C4">
        <v>3.844235E-2</v>
      </c>
      <c r="D4">
        <v>3.8225750000000003E-2</v>
      </c>
      <c r="E4">
        <v>3.8784899999999997E-2</v>
      </c>
      <c r="F4">
        <v>5.5914999999999437E-4</v>
      </c>
      <c r="G4">
        <v>3.8689029999999999E-2</v>
      </c>
      <c r="H4">
        <v>1.523029921680246E-3</v>
      </c>
      <c r="I4">
        <v>3.6513799999999999E-2</v>
      </c>
      <c r="J4">
        <v>4.2536900000000002E-2</v>
      </c>
    </row>
    <row r="5" spans="1:10" x14ac:dyDescent="0.25">
      <c r="A5" t="s">
        <v>19</v>
      </c>
      <c r="B5" t="s">
        <v>8</v>
      </c>
      <c r="C5">
        <v>29.495206699999997</v>
      </c>
      <c r="D5">
        <v>29.3071819</v>
      </c>
      <c r="E5">
        <v>29.934910049999999</v>
      </c>
      <c r="F5">
        <v>0.62772814999999937</v>
      </c>
      <c r="G5">
        <v>29.588007369999996</v>
      </c>
      <c r="H5">
        <v>0.40326760368021164</v>
      </c>
      <c r="I5">
        <v>29.067636100000001</v>
      </c>
      <c r="J5">
        <v>30.184445700000001</v>
      </c>
    </row>
    <row r="6" spans="1:10" x14ac:dyDescent="0.25">
      <c r="A6" t="s">
        <v>19</v>
      </c>
      <c r="B6" t="s">
        <v>9</v>
      </c>
      <c r="C6">
        <v>3390.39198474562</v>
      </c>
      <c r="D6">
        <v>3340.7066100123352</v>
      </c>
      <c r="E6">
        <v>3412.1377218768612</v>
      </c>
      <c r="F6">
        <v>71.431111864525974</v>
      </c>
      <c r="G6">
        <v>3380.3099688891334</v>
      </c>
      <c r="H6">
        <v>45.839661484788323</v>
      </c>
      <c r="I6">
        <v>3312.9645975244794</v>
      </c>
      <c r="J6">
        <v>3440.2522329636568</v>
      </c>
    </row>
    <row r="7" spans="1:10" x14ac:dyDescent="0.25">
      <c r="A7" t="s">
        <v>19</v>
      </c>
      <c r="B7" t="s">
        <v>10</v>
      </c>
      <c r="C7">
        <v>3249.4164199849729</v>
      </c>
      <c r="D7">
        <v>3203.8718641841983</v>
      </c>
      <c r="E7">
        <v>3267.8565668142046</v>
      </c>
      <c r="F7">
        <v>63.984702630006268</v>
      </c>
      <c r="G7">
        <v>3239.9376144078406</v>
      </c>
      <c r="H7">
        <v>43.078252747489714</v>
      </c>
      <c r="I7">
        <v>3174.6368761451163</v>
      </c>
      <c r="J7">
        <v>3295.8864275506235</v>
      </c>
    </row>
    <row r="8" spans="1:10" x14ac:dyDescent="0.25">
      <c r="A8" t="s">
        <v>19</v>
      </c>
      <c r="B8" t="s">
        <v>11</v>
      </c>
      <c r="C8">
        <v>30.5859375</v>
      </c>
      <c r="D8">
        <v>30.3515625</v>
      </c>
      <c r="E8">
        <v>30.984375</v>
      </c>
      <c r="F8">
        <v>0.6328125</v>
      </c>
      <c r="G8">
        <v>30.675000000000001</v>
      </c>
      <c r="H8">
        <v>0.39746101748054069</v>
      </c>
      <c r="I8">
        <v>30.234375</v>
      </c>
      <c r="J8">
        <v>31.328125</v>
      </c>
    </row>
    <row r="9" spans="1:10" x14ac:dyDescent="0.25">
      <c r="A9" t="s">
        <v>19</v>
      </c>
      <c r="B9" t="s">
        <v>12</v>
      </c>
      <c r="C9">
        <v>395853824</v>
      </c>
      <c r="D9">
        <v>395635712</v>
      </c>
      <c r="E9">
        <v>396356608</v>
      </c>
      <c r="F9">
        <v>720896</v>
      </c>
      <c r="G9">
        <v>395982848</v>
      </c>
      <c r="H9">
        <v>789177.43008105177</v>
      </c>
      <c r="I9">
        <v>394506240</v>
      </c>
      <c r="J9">
        <v>397398016</v>
      </c>
    </row>
    <row r="10" spans="1:10" x14ac:dyDescent="0.25">
      <c r="A10" t="s">
        <v>19</v>
      </c>
      <c r="B10" t="s">
        <v>13</v>
      </c>
      <c r="C10">
        <v>7679</v>
      </c>
      <c r="D10">
        <v>7679</v>
      </c>
      <c r="E10">
        <v>7679</v>
      </c>
      <c r="F10">
        <v>0</v>
      </c>
      <c r="G10">
        <v>7679</v>
      </c>
      <c r="H10">
        <v>0</v>
      </c>
      <c r="I10">
        <v>7679</v>
      </c>
      <c r="J10">
        <v>7679</v>
      </c>
    </row>
    <row r="11" spans="1:10" x14ac:dyDescent="0.25">
      <c r="A11" t="s">
        <v>19</v>
      </c>
      <c r="B11" t="s">
        <v>14</v>
      </c>
      <c r="C11">
        <v>791646262</v>
      </c>
      <c r="D11">
        <v>791646262</v>
      </c>
      <c r="E11">
        <v>791646262</v>
      </c>
      <c r="F11">
        <v>0</v>
      </c>
      <c r="G11">
        <v>791646262</v>
      </c>
      <c r="H11">
        <v>0</v>
      </c>
      <c r="I11">
        <v>791646262</v>
      </c>
      <c r="J11">
        <v>791646262</v>
      </c>
    </row>
    <row r="12" spans="1:10" x14ac:dyDescent="0.25">
      <c r="A12" t="s">
        <v>20</v>
      </c>
      <c r="B12" t="s">
        <v>5</v>
      </c>
      <c r="C12">
        <v>26.866132550000003</v>
      </c>
      <c r="D12">
        <v>26.7050603</v>
      </c>
      <c r="E12">
        <v>26.956754525000001</v>
      </c>
      <c r="F12">
        <v>0.25169422500000138</v>
      </c>
      <c r="G12">
        <v>26.83646706</v>
      </c>
      <c r="H12">
        <v>0.16275012859518542</v>
      </c>
      <c r="I12">
        <v>26.594638799999998</v>
      </c>
      <c r="J12">
        <v>27.0588926</v>
      </c>
    </row>
    <row r="13" spans="1:10" x14ac:dyDescent="0.25">
      <c r="A13" t="s">
        <v>20</v>
      </c>
      <c r="B13" t="s">
        <v>6</v>
      </c>
      <c r="C13">
        <v>9.0042417500000003</v>
      </c>
      <c r="D13">
        <v>8.9451028500000014</v>
      </c>
      <c r="E13">
        <v>9.0364056999999995</v>
      </c>
      <c r="F13">
        <v>9.1302849999998159E-2</v>
      </c>
      <c r="G13">
        <v>8.9965250300000008</v>
      </c>
      <c r="H13">
        <v>6.3341940813370481E-2</v>
      </c>
      <c r="I13">
        <v>8.9002099999999995</v>
      </c>
      <c r="J13">
        <v>9.0906672999999998</v>
      </c>
    </row>
    <row r="14" spans="1:10" x14ac:dyDescent="0.25">
      <c r="A14" t="s">
        <v>20</v>
      </c>
      <c r="B14" t="s">
        <v>7</v>
      </c>
      <c r="C14">
        <v>3.8653950000000006E-2</v>
      </c>
      <c r="D14">
        <v>3.8442174999999995E-2</v>
      </c>
      <c r="E14">
        <v>3.8906700000000002E-2</v>
      </c>
      <c r="F14">
        <v>4.6452500000000729E-4</v>
      </c>
      <c r="G14">
        <v>3.8580409999999996E-2</v>
      </c>
      <c r="H14">
        <v>6.4264257985636455E-4</v>
      </c>
      <c r="I14">
        <v>3.7051000000000001E-2</v>
      </c>
      <c r="J14">
        <v>3.9434299999999999E-2</v>
      </c>
    </row>
    <row r="15" spans="1:10" x14ac:dyDescent="0.25">
      <c r="A15" t="s">
        <v>20</v>
      </c>
      <c r="B15" t="s">
        <v>8</v>
      </c>
      <c r="C15">
        <v>35.873057500000002</v>
      </c>
      <c r="D15">
        <v>35.650163150000004</v>
      </c>
      <c r="E15">
        <v>36.018481699999995</v>
      </c>
      <c r="F15">
        <v>0.36831854999999081</v>
      </c>
      <c r="G15">
        <v>35.832992089999991</v>
      </c>
      <c r="H15">
        <v>0.22156782887874971</v>
      </c>
      <c r="I15">
        <v>35.516466399999999</v>
      </c>
      <c r="J15">
        <v>36.0981101</v>
      </c>
    </row>
    <row r="16" spans="1:10" x14ac:dyDescent="0.25">
      <c r="A16" t="s">
        <v>20</v>
      </c>
      <c r="B16" t="s">
        <v>9</v>
      </c>
      <c r="C16">
        <v>2787.6118349858207</v>
      </c>
      <c r="D16">
        <v>2776.3527217288142</v>
      </c>
      <c r="E16">
        <v>2805.0440345255529</v>
      </c>
      <c r="F16">
        <v>28.691312796738657</v>
      </c>
      <c r="G16">
        <v>2790.8204730575508</v>
      </c>
      <c r="H16">
        <v>17.290740909260865</v>
      </c>
      <c r="I16">
        <v>2770.2281289235693</v>
      </c>
      <c r="J16">
        <v>2815.5954163277911</v>
      </c>
    </row>
    <row r="17" spans="1:10" x14ac:dyDescent="0.25">
      <c r="A17" t="s">
        <v>20</v>
      </c>
      <c r="B17" t="s">
        <v>10</v>
      </c>
      <c r="C17">
        <v>2676.6110792976638</v>
      </c>
      <c r="D17">
        <v>2666.2829878076427</v>
      </c>
      <c r="E17">
        <v>2693.8163478632964</v>
      </c>
      <c r="F17">
        <v>27.533360055653702</v>
      </c>
      <c r="G17">
        <v>2679.5670480310005</v>
      </c>
      <c r="H17">
        <v>17.556372040659074</v>
      </c>
      <c r="I17">
        <v>2658.6272755516507</v>
      </c>
      <c r="J17">
        <v>2704.7365768873501</v>
      </c>
    </row>
    <row r="18" spans="1:10" x14ac:dyDescent="0.25">
      <c r="A18" t="s">
        <v>20</v>
      </c>
      <c r="B18" t="s">
        <v>11</v>
      </c>
      <c r="C18">
        <v>37.0390625</v>
      </c>
      <c r="D18">
        <v>36.8046875</v>
      </c>
      <c r="E18">
        <v>37.234375</v>
      </c>
      <c r="F18">
        <v>0.4296875</v>
      </c>
      <c r="G18">
        <v>37.028125000000003</v>
      </c>
      <c r="H18">
        <v>0.28123070921497095</v>
      </c>
      <c r="I18">
        <v>36.640625</v>
      </c>
      <c r="J18">
        <v>37.40625</v>
      </c>
    </row>
    <row r="19" spans="1:10" x14ac:dyDescent="0.25">
      <c r="A19" t="s">
        <v>20</v>
      </c>
      <c r="B19" t="s">
        <v>12</v>
      </c>
      <c r="C19">
        <v>429350912</v>
      </c>
      <c r="D19">
        <v>429047808</v>
      </c>
      <c r="E19">
        <v>429544448</v>
      </c>
      <c r="F19">
        <v>496640</v>
      </c>
      <c r="G19">
        <v>429369753.60000002</v>
      </c>
      <c r="H19">
        <v>785265.38655967196</v>
      </c>
      <c r="I19">
        <v>428105728</v>
      </c>
      <c r="J19">
        <v>430665728</v>
      </c>
    </row>
    <row r="20" spans="1:10" x14ac:dyDescent="0.25">
      <c r="A20" t="s">
        <v>20</v>
      </c>
      <c r="B20" t="s">
        <v>13</v>
      </c>
      <c r="C20">
        <v>7917</v>
      </c>
      <c r="D20">
        <v>7916</v>
      </c>
      <c r="E20">
        <v>7918</v>
      </c>
      <c r="F20">
        <v>2</v>
      </c>
      <c r="G20">
        <v>7917</v>
      </c>
      <c r="H20">
        <v>1.0540925533894598</v>
      </c>
      <c r="I20">
        <v>7916</v>
      </c>
      <c r="J20">
        <v>7918</v>
      </c>
    </row>
    <row r="21" spans="1:10" x14ac:dyDescent="0.25">
      <c r="A21" t="s">
        <v>20</v>
      </c>
      <c r="B21" t="s">
        <v>14</v>
      </c>
      <c r="C21">
        <v>815444957</v>
      </c>
      <c r="D21">
        <v>815444789.5</v>
      </c>
      <c r="E21">
        <v>815445043</v>
      </c>
      <c r="F21">
        <v>253.5</v>
      </c>
      <c r="G21">
        <v>815444889.20000005</v>
      </c>
      <c r="H21">
        <v>262.04020047822183</v>
      </c>
      <c r="I21">
        <v>815444460</v>
      </c>
      <c r="J21">
        <v>815445214</v>
      </c>
    </row>
    <row r="22" spans="1:10" x14ac:dyDescent="0.25">
      <c r="A22" t="s">
        <v>21</v>
      </c>
      <c r="B22" t="s">
        <v>5</v>
      </c>
      <c r="C22">
        <v>23.773601299999999</v>
      </c>
      <c r="D22">
        <v>23.706106875000003</v>
      </c>
      <c r="E22">
        <v>23.884018775000001</v>
      </c>
      <c r="F22">
        <v>0.17791189999999801</v>
      </c>
      <c r="G22">
        <v>23.746415819999999</v>
      </c>
      <c r="H22">
        <v>0.19167843245962599</v>
      </c>
      <c r="I22">
        <v>23.303743900000001</v>
      </c>
      <c r="J22">
        <v>23.947467</v>
      </c>
    </row>
    <row r="23" spans="1:10" x14ac:dyDescent="0.25">
      <c r="A23" t="s">
        <v>21</v>
      </c>
      <c r="B23" t="s">
        <v>6</v>
      </c>
      <c r="C23">
        <v>6.6298600000000008</v>
      </c>
      <c r="D23">
        <v>6.6054415249999998</v>
      </c>
      <c r="E23">
        <v>6.6493327500000001</v>
      </c>
      <c r="F23">
        <v>4.3891225000000311E-2</v>
      </c>
      <c r="G23">
        <v>6.6268181299999993</v>
      </c>
      <c r="H23">
        <v>4.8458664734414056E-2</v>
      </c>
      <c r="I23">
        <v>6.5199619999999996</v>
      </c>
      <c r="J23">
        <v>6.6883125000000003</v>
      </c>
    </row>
    <row r="24" spans="1:10" x14ac:dyDescent="0.25">
      <c r="A24" t="s">
        <v>21</v>
      </c>
      <c r="B24" t="s">
        <v>7</v>
      </c>
      <c r="C24">
        <v>3.7812749999999999E-2</v>
      </c>
      <c r="D24">
        <v>3.7337574999999998E-2</v>
      </c>
      <c r="E24">
        <v>3.8037000000000001E-2</v>
      </c>
      <c r="F24">
        <v>6.9942500000000352E-4</v>
      </c>
      <c r="G24">
        <v>3.7712559999999999E-2</v>
      </c>
      <c r="H24">
        <v>6.146690477177309E-4</v>
      </c>
      <c r="I24">
        <v>3.6558599999999997E-2</v>
      </c>
      <c r="J24">
        <v>3.8774299999999998E-2</v>
      </c>
    </row>
    <row r="25" spans="1:10" x14ac:dyDescent="0.25">
      <c r="A25" t="s">
        <v>21</v>
      </c>
      <c r="B25" t="s">
        <v>8</v>
      </c>
      <c r="C25">
        <v>30.397161099999998</v>
      </c>
      <c r="D25">
        <v>30.329702749999999</v>
      </c>
      <c r="E25">
        <v>30.534553549999998</v>
      </c>
      <c r="F25">
        <v>0.20485079999999911</v>
      </c>
      <c r="G25">
        <v>30.373233950000003</v>
      </c>
      <c r="H25">
        <v>0.23580847037425806</v>
      </c>
      <c r="I25">
        <v>29.8237059</v>
      </c>
      <c r="J25">
        <v>30.635779500000002</v>
      </c>
    </row>
    <row r="26" spans="1:10" x14ac:dyDescent="0.25">
      <c r="A26" t="s">
        <v>21</v>
      </c>
      <c r="B26" t="s">
        <v>9</v>
      </c>
      <c r="C26">
        <v>3289.7809105136198</v>
      </c>
      <c r="D26">
        <v>3274.9791230597029</v>
      </c>
      <c r="E26">
        <v>3297.0986136163951</v>
      </c>
      <c r="F26">
        <v>22.119490556692199</v>
      </c>
      <c r="G26">
        <v>3292.5527804523276</v>
      </c>
      <c r="H26">
        <v>25.802994703925197</v>
      </c>
      <c r="I26">
        <v>3264.1571924096133</v>
      </c>
      <c r="J26">
        <v>3353.0373567692673</v>
      </c>
    </row>
    <row r="27" spans="1:10" x14ac:dyDescent="0.25">
      <c r="A27" t="s">
        <v>21</v>
      </c>
      <c r="B27" t="s">
        <v>10</v>
      </c>
      <c r="C27">
        <v>3121.2119144575563</v>
      </c>
      <c r="D27">
        <v>3109.4630792587077</v>
      </c>
      <c r="E27">
        <v>3128.8965879615889</v>
      </c>
      <c r="F27">
        <v>19.433508702881227</v>
      </c>
      <c r="G27">
        <v>3124.5775581767784</v>
      </c>
      <c r="H27">
        <v>24.868474071963579</v>
      </c>
      <c r="I27">
        <v>3096.5976483254376</v>
      </c>
      <c r="J27">
        <v>3183.3969904496012</v>
      </c>
    </row>
    <row r="28" spans="1:10" x14ac:dyDescent="0.25">
      <c r="A28" t="s">
        <v>21</v>
      </c>
      <c r="B28" t="s">
        <v>11</v>
      </c>
      <c r="C28">
        <v>31.8125</v>
      </c>
      <c r="D28">
        <v>31.6875</v>
      </c>
      <c r="E28">
        <v>31.91796875</v>
      </c>
      <c r="F28">
        <v>0.23046875</v>
      </c>
      <c r="G28">
        <v>31.762499999999999</v>
      </c>
      <c r="H28">
        <v>0.25460174510617772</v>
      </c>
      <c r="I28">
        <v>31.140625</v>
      </c>
      <c r="J28">
        <v>32.03125</v>
      </c>
    </row>
    <row r="29" spans="1:10" x14ac:dyDescent="0.25">
      <c r="A29" t="s">
        <v>21</v>
      </c>
      <c r="B29" t="s">
        <v>12</v>
      </c>
      <c r="C29">
        <v>239527936</v>
      </c>
      <c r="D29">
        <v>239377408</v>
      </c>
      <c r="E29">
        <v>239770624</v>
      </c>
      <c r="F29">
        <v>393216</v>
      </c>
      <c r="G29">
        <v>239495987.19999999</v>
      </c>
      <c r="H29">
        <v>504431.26470308675</v>
      </c>
      <c r="I29">
        <v>238641152</v>
      </c>
      <c r="J29">
        <v>240132096</v>
      </c>
    </row>
    <row r="30" spans="1:10" x14ac:dyDescent="0.25">
      <c r="A30" t="s">
        <v>21</v>
      </c>
      <c r="B30" t="s">
        <v>13</v>
      </c>
      <c r="C30">
        <v>3559</v>
      </c>
      <c r="D30">
        <v>3554</v>
      </c>
      <c r="E30">
        <v>3560.5</v>
      </c>
      <c r="F30">
        <v>6.5</v>
      </c>
      <c r="G30">
        <v>3558.4</v>
      </c>
      <c r="H30">
        <v>5.3374983736661585</v>
      </c>
      <c r="I30">
        <v>3551</v>
      </c>
      <c r="J30">
        <v>3569</v>
      </c>
    </row>
    <row r="31" spans="1:10" x14ac:dyDescent="0.25">
      <c r="A31" t="s">
        <v>21</v>
      </c>
      <c r="B31" t="s">
        <v>14</v>
      </c>
      <c r="C31">
        <v>379555289</v>
      </c>
      <c r="D31">
        <v>379554890.5</v>
      </c>
      <c r="E31">
        <v>379555357.5</v>
      </c>
      <c r="F31">
        <v>467</v>
      </c>
      <c r="G31">
        <v>379555403.19999999</v>
      </c>
      <c r="H31">
        <v>1207.6173786979605</v>
      </c>
      <c r="I31">
        <v>379553638</v>
      </c>
      <c r="J31">
        <v>379558046</v>
      </c>
    </row>
    <row r="32" spans="1:10" x14ac:dyDescent="0.25">
      <c r="A32" t="s">
        <v>22</v>
      </c>
      <c r="B32" t="s">
        <v>5</v>
      </c>
      <c r="C32">
        <v>2.0653135999999996</v>
      </c>
      <c r="D32">
        <v>2.0548840250000002</v>
      </c>
      <c r="E32">
        <v>2.073299075</v>
      </c>
      <c r="F32">
        <v>1.8415049999999766E-2</v>
      </c>
      <c r="G32">
        <v>2.0640598699999999</v>
      </c>
      <c r="H32">
        <v>1.1858747561568201E-2</v>
      </c>
      <c r="I32">
        <v>2.0453758</v>
      </c>
      <c r="J32">
        <v>2.0791496</v>
      </c>
    </row>
    <row r="33" spans="1:10" x14ac:dyDescent="0.25">
      <c r="A33" t="s">
        <v>22</v>
      </c>
      <c r="B33" t="s">
        <v>6</v>
      </c>
      <c r="C33">
        <v>3.2929775999999999</v>
      </c>
      <c r="D33">
        <v>3.2755843499999999</v>
      </c>
      <c r="E33">
        <v>3.3038859250000003</v>
      </c>
      <c r="F33">
        <v>2.8301575000000412E-2</v>
      </c>
      <c r="G33">
        <v>3.2908211500000002</v>
      </c>
      <c r="H33">
        <v>1.9015952560080145E-2</v>
      </c>
      <c r="I33">
        <v>3.2586579000000002</v>
      </c>
      <c r="J33">
        <v>3.3195953999999999</v>
      </c>
    </row>
    <row r="34" spans="1:10" x14ac:dyDescent="0.25">
      <c r="A34" t="s">
        <v>22</v>
      </c>
      <c r="B34" t="s">
        <v>7</v>
      </c>
      <c r="C34">
        <v>3.5435700000000001E-2</v>
      </c>
      <c r="D34">
        <v>3.4806150000000001E-2</v>
      </c>
      <c r="E34">
        <v>3.6011000000000001E-2</v>
      </c>
      <c r="F34">
        <v>1.2048500000000004E-3</v>
      </c>
      <c r="G34">
        <v>3.545392E-2</v>
      </c>
      <c r="H34">
        <v>7.6427970272669159E-4</v>
      </c>
      <c r="I34">
        <v>3.4515999999999998E-2</v>
      </c>
      <c r="J34">
        <v>3.6774099999999997E-2</v>
      </c>
    </row>
    <row r="35" spans="1:10" x14ac:dyDescent="0.25">
      <c r="A35" t="s">
        <v>22</v>
      </c>
      <c r="B35" t="s">
        <v>8</v>
      </c>
      <c r="C35">
        <v>5.3582912</v>
      </c>
      <c r="D35">
        <v>5.330097125</v>
      </c>
      <c r="E35">
        <v>5.3771850000000008</v>
      </c>
      <c r="F35">
        <v>4.7087875000000778E-2</v>
      </c>
      <c r="G35">
        <v>5.3548810199999997</v>
      </c>
      <c r="H35">
        <v>3.0768028659156409E-2</v>
      </c>
      <c r="I35">
        <v>5.3040336999999997</v>
      </c>
      <c r="J35">
        <v>5.3987449999999999</v>
      </c>
    </row>
    <row r="36" spans="1:10" x14ac:dyDescent="0.25">
      <c r="A36" t="s">
        <v>22</v>
      </c>
      <c r="B36" t="s">
        <v>9</v>
      </c>
      <c r="C36">
        <v>18662.679358244179</v>
      </c>
      <c r="D36">
        <v>18597.103679619799</v>
      </c>
      <c r="E36">
        <v>18761.47466843974</v>
      </c>
      <c r="F36">
        <v>164.37098881994098</v>
      </c>
      <c r="G36">
        <v>18675.106996634218</v>
      </c>
      <c r="H36">
        <v>107.47232737555964</v>
      </c>
      <c r="I36">
        <v>18522.823359873451</v>
      </c>
      <c r="J36">
        <v>18853.575534408843</v>
      </c>
    </row>
    <row r="37" spans="1:10" x14ac:dyDescent="0.25">
      <c r="A37" t="s">
        <v>22</v>
      </c>
      <c r="B37" t="s">
        <v>10</v>
      </c>
      <c r="C37">
        <v>15799.117915910261</v>
      </c>
      <c r="D37">
        <v>15781.752151855864</v>
      </c>
      <c r="E37">
        <v>15913.261302643197</v>
      </c>
      <c r="F37">
        <v>131.50915078733306</v>
      </c>
      <c r="G37">
        <v>15822.624273070131</v>
      </c>
      <c r="H37">
        <v>105.15479680114385</v>
      </c>
      <c r="I37">
        <v>15657.963438217446</v>
      </c>
      <c r="J37">
        <v>15977.673438243595</v>
      </c>
    </row>
    <row r="38" spans="1:10" x14ac:dyDescent="0.25">
      <c r="A38" t="s">
        <v>22</v>
      </c>
      <c r="B38" t="s">
        <v>11</v>
      </c>
      <c r="C38">
        <v>6.28125</v>
      </c>
      <c r="D38">
        <v>6.265625</v>
      </c>
      <c r="E38">
        <v>6.29296875</v>
      </c>
      <c r="F38">
        <v>2.734375E-2</v>
      </c>
      <c r="G38">
        <v>6.2671875000000004</v>
      </c>
      <c r="H38">
        <v>4.5673252642486985E-2</v>
      </c>
      <c r="I38">
        <v>6.1875</v>
      </c>
      <c r="J38">
        <v>6.328125</v>
      </c>
    </row>
    <row r="39" spans="1:10" x14ac:dyDescent="0.25">
      <c r="A39" t="s">
        <v>22</v>
      </c>
      <c r="B39" t="s">
        <v>12</v>
      </c>
      <c r="C39">
        <v>136966144</v>
      </c>
      <c r="D39">
        <v>136659968</v>
      </c>
      <c r="E39">
        <v>137294848</v>
      </c>
      <c r="F39">
        <v>634880</v>
      </c>
      <c r="G39">
        <v>136965324.80000001</v>
      </c>
      <c r="H39">
        <v>352899.97570000862</v>
      </c>
      <c r="I39">
        <v>136486912</v>
      </c>
      <c r="J39">
        <v>137371648</v>
      </c>
    </row>
    <row r="40" spans="1:10" x14ac:dyDescent="0.25">
      <c r="A40" t="s">
        <v>22</v>
      </c>
      <c r="B40" t="s">
        <v>13</v>
      </c>
      <c r="C40">
        <v>434</v>
      </c>
      <c r="D40">
        <v>434</v>
      </c>
      <c r="E40">
        <v>434</v>
      </c>
      <c r="F40">
        <v>0</v>
      </c>
      <c r="G40">
        <v>434.4</v>
      </c>
      <c r="H40">
        <v>0.84327404271156781</v>
      </c>
      <c r="I40">
        <v>434</v>
      </c>
      <c r="J40">
        <v>436</v>
      </c>
    </row>
    <row r="41" spans="1:10" x14ac:dyDescent="0.25">
      <c r="A41" t="s">
        <v>22</v>
      </c>
      <c r="B41" t="s">
        <v>14</v>
      </c>
      <c r="C41">
        <v>67245000</v>
      </c>
      <c r="D41">
        <v>67244965</v>
      </c>
      <c r="E41">
        <v>67245212</v>
      </c>
      <c r="F41">
        <v>247</v>
      </c>
      <c r="G41">
        <v>67245132.400000006</v>
      </c>
      <c r="H41">
        <v>351.47789562234368</v>
      </c>
      <c r="I41">
        <v>67244694</v>
      </c>
      <c r="J41">
        <v>67245888</v>
      </c>
    </row>
    <row r="42" spans="1:10" x14ac:dyDescent="0.25">
      <c r="A42" t="s">
        <v>23</v>
      </c>
      <c r="B42" t="s">
        <v>5</v>
      </c>
      <c r="C42">
        <v>20.241783699999999</v>
      </c>
      <c r="D42">
        <v>20.161778925</v>
      </c>
      <c r="E42">
        <v>20.334633400000001</v>
      </c>
      <c r="F42">
        <v>0.17285447500000117</v>
      </c>
      <c r="G42">
        <v>20.238511080000002</v>
      </c>
      <c r="H42">
        <v>0.14684898063814308</v>
      </c>
      <c r="I42">
        <v>20.0133188</v>
      </c>
      <c r="J42">
        <v>20.476744</v>
      </c>
    </row>
    <row r="43" spans="1:10" x14ac:dyDescent="0.25">
      <c r="A43" t="s">
        <v>23</v>
      </c>
      <c r="B43" t="s">
        <v>6</v>
      </c>
      <c r="C43">
        <v>2.97733005</v>
      </c>
      <c r="D43">
        <v>2.9610304999999997</v>
      </c>
      <c r="E43">
        <v>2.98502315</v>
      </c>
      <c r="F43">
        <v>2.3992650000000282E-2</v>
      </c>
      <c r="G43">
        <v>2.9733034900000002</v>
      </c>
      <c r="H43">
        <v>1.4301274183360912E-2</v>
      </c>
      <c r="I43">
        <v>2.9483806000000001</v>
      </c>
      <c r="J43">
        <v>2.9897301999999999</v>
      </c>
    </row>
    <row r="44" spans="1:10" x14ac:dyDescent="0.25">
      <c r="A44" t="s">
        <v>23</v>
      </c>
      <c r="B44" t="s">
        <v>7</v>
      </c>
      <c r="C44">
        <v>3.5896999999999998E-2</v>
      </c>
      <c r="D44">
        <v>3.5619225000000004E-2</v>
      </c>
      <c r="E44">
        <v>3.6257400000000002E-2</v>
      </c>
      <c r="F44">
        <v>6.3817499999999777E-4</v>
      </c>
      <c r="G44">
        <v>3.5808419999999994E-2</v>
      </c>
      <c r="H44">
        <v>5.578991282779829E-4</v>
      </c>
      <c r="I44">
        <v>3.4708700000000002E-2</v>
      </c>
      <c r="J44">
        <v>3.6428000000000002E-2</v>
      </c>
    </row>
    <row r="45" spans="1:10" x14ac:dyDescent="0.25">
      <c r="A45" t="s">
        <v>23</v>
      </c>
      <c r="B45" t="s">
        <v>8</v>
      </c>
      <c r="C45">
        <v>23.209194350000001</v>
      </c>
      <c r="D45">
        <v>23.131777925000002</v>
      </c>
      <c r="E45">
        <v>23.319354050000001</v>
      </c>
      <c r="F45">
        <v>0.18757612499999965</v>
      </c>
      <c r="G45">
        <v>23.211814570000001</v>
      </c>
      <c r="H45">
        <v>0.15865369181929356</v>
      </c>
      <c r="I45">
        <v>22.961699400000001</v>
      </c>
      <c r="J45">
        <v>23.463058700000001</v>
      </c>
    </row>
    <row r="46" spans="1:10" x14ac:dyDescent="0.25">
      <c r="A46" t="s">
        <v>23</v>
      </c>
      <c r="B46" t="s">
        <v>9</v>
      </c>
      <c r="C46">
        <v>4308.6445826907393</v>
      </c>
      <c r="D46">
        <v>4288.2851082225861</v>
      </c>
      <c r="E46">
        <v>4323.0603545702634</v>
      </c>
      <c r="F46">
        <v>34.775246347677239</v>
      </c>
      <c r="G46">
        <v>4308.3322111525777</v>
      </c>
      <c r="H46">
        <v>29.47360438428538</v>
      </c>
      <c r="I46">
        <v>4262.0189157179238</v>
      </c>
      <c r="J46">
        <v>4355.0783527808053</v>
      </c>
    </row>
    <row r="47" spans="1:10" x14ac:dyDescent="0.25">
      <c r="A47" t="s">
        <v>23</v>
      </c>
      <c r="B47" t="s">
        <v>10</v>
      </c>
      <c r="C47">
        <v>4083.9595543214064</v>
      </c>
      <c r="D47">
        <v>4065.2256899652716</v>
      </c>
      <c r="E47">
        <v>4101.4943911378059</v>
      </c>
      <c r="F47">
        <v>36.268701172534293</v>
      </c>
      <c r="G47">
        <v>4084.7088011437154</v>
      </c>
      <c r="H47">
        <v>27.786335548283482</v>
      </c>
      <c r="I47">
        <v>4043.1120106460344</v>
      </c>
      <c r="J47">
        <v>4129.8123758921829</v>
      </c>
    </row>
    <row r="48" spans="1:10" x14ac:dyDescent="0.25">
      <c r="A48" t="s">
        <v>23</v>
      </c>
      <c r="B48" t="s">
        <v>11</v>
      </c>
      <c r="C48">
        <v>24.2734375</v>
      </c>
      <c r="D48">
        <v>24.109375</v>
      </c>
      <c r="E48">
        <v>24.3828125</v>
      </c>
      <c r="F48">
        <v>0.2734375</v>
      </c>
      <c r="G48">
        <v>24.256250000000001</v>
      </c>
      <c r="H48">
        <v>0.20268381574922717</v>
      </c>
      <c r="I48">
        <v>23.953125</v>
      </c>
      <c r="J48">
        <v>24.578125</v>
      </c>
    </row>
    <row r="49" spans="1:10" x14ac:dyDescent="0.25">
      <c r="A49" t="s">
        <v>23</v>
      </c>
      <c r="B49" t="s">
        <v>12</v>
      </c>
      <c r="C49">
        <v>205932544</v>
      </c>
      <c r="D49">
        <v>205762560</v>
      </c>
      <c r="E49">
        <v>206245888</v>
      </c>
      <c r="F49">
        <v>483328</v>
      </c>
      <c r="G49">
        <v>206095564.80000001</v>
      </c>
      <c r="H49">
        <v>451531.44244419271</v>
      </c>
      <c r="I49">
        <v>205680640</v>
      </c>
      <c r="J49">
        <v>207089664</v>
      </c>
    </row>
    <row r="50" spans="1:10" x14ac:dyDescent="0.25">
      <c r="A50" t="s">
        <v>23</v>
      </c>
      <c r="B50" t="s">
        <v>13</v>
      </c>
      <c r="C50">
        <v>3321</v>
      </c>
      <c r="D50">
        <v>3316.5</v>
      </c>
      <c r="E50">
        <v>3324</v>
      </c>
      <c r="F50">
        <v>7.5</v>
      </c>
      <c r="G50">
        <v>3320</v>
      </c>
      <c r="H50">
        <v>4.8074017006186525</v>
      </c>
      <c r="I50">
        <v>3312</v>
      </c>
      <c r="J50">
        <v>3326</v>
      </c>
    </row>
    <row r="51" spans="1:10" x14ac:dyDescent="0.25">
      <c r="A51" t="s">
        <v>23</v>
      </c>
      <c r="B51" t="s">
        <v>14</v>
      </c>
      <c r="C51">
        <v>355756583</v>
      </c>
      <c r="D51">
        <v>355755394</v>
      </c>
      <c r="E51">
        <v>355757014.5</v>
      </c>
      <c r="F51">
        <v>1620.5</v>
      </c>
      <c r="G51">
        <v>355756359.60000002</v>
      </c>
      <c r="H51">
        <v>1267.0872284276425</v>
      </c>
      <c r="I51">
        <v>355754088</v>
      </c>
      <c r="J51">
        <v>355758046</v>
      </c>
    </row>
    <row r="54" spans="1:10" x14ac:dyDescent="0.25">
      <c r="G54" t="s">
        <v>42</v>
      </c>
      <c r="H54" t="s">
        <v>43</v>
      </c>
    </row>
    <row r="55" spans="1:10" x14ac:dyDescent="0.25">
      <c r="A55" t="s">
        <v>19</v>
      </c>
      <c r="B55" t="s">
        <v>6</v>
      </c>
      <c r="C55">
        <v>5.4436561000000001</v>
      </c>
      <c r="D55">
        <v>5.403410375</v>
      </c>
      <c r="E55">
        <v>5.5232916999999997</v>
      </c>
      <c r="F55">
        <v>0.11988132499999971</v>
      </c>
      <c r="G55">
        <v>5.4572102899999999</v>
      </c>
      <c r="H55">
        <v>6.8045597131701899E-2</v>
      </c>
      <c r="I55">
        <v>5.3678457999999996</v>
      </c>
      <c r="J55">
        <v>5.5519477999999998</v>
      </c>
    </row>
    <row r="56" spans="1:10" x14ac:dyDescent="0.25">
      <c r="A56" t="s">
        <v>20</v>
      </c>
      <c r="B56" t="s">
        <v>6</v>
      </c>
      <c r="C56">
        <v>9.0042417500000003</v>
      </c>
      <c r="D56">
        <v>8.9451028500000014</v>
      </c>
      <c r="E56">
        <v>9.0364056999999995</v>
      </c>
      <c r="F56">
        <v>9.1302849999998159E-2</v>
      </c>
      <c r="G56">
        <v>8.9965250300000008</v>
      </c>
      <c r="H56">
        <v>6.3341940813370481E-2</v>
      </c>
      <c r="I56">
        <v>8.9002099999999995</v>
      </c>
      <c r="J56">
        <v>9.0906672999999998</v>
      </c>
    </row>
    <row r="57" spans="1:10" x14ac:dyDescent="0.25">
      <c r="A57" t="s">
        <v>21</v>
      </c>
      <c r="B57" t="s">
        <v>6</v>
      </c>
      <c r="C57">
        <v>6.6298600000000008</v>
      </c>
      <c r="D57">
        <v>6.6054415249999998</v>
      </c>
      <c r="E57">
        <v>6.6493327500000001</v>
      </c>
      <c r="F57">
        <v>4.3891225000000311E-2</v>
      </c>
      <c r="G57">
        <v>6.6268181299999993</v>
      </c>
      <c r="H57">
        <v>4.8458664734414056E-2</v>
      </c>
      <c r="I57">
        <v>6.5199619999999996</v>
      </c>
      <c r="J57">
        <v>6.6883125000000003</v>
      </c>
    </row>
    <row r="58" spans="1:10" x14ac:dyDescent="0.25">
      <c r="A58" t="s">
        <v>22</v>
      </c>
      <c r="B58" t="s">
        <v>6</v>
      </c>
      <c r="C58">
        <v>3.2929775999999999</v>
      </c>
      <c r="D58">
        <v>3.2755843499999999</v>
      </c>
      <c r="E58">
        <v>3.3038859250000003</v>
      </c>
      <c r="F58">
        <v>2.8301575000000412E-2</v>
      </c>
      <c r="G58">
        <v>3.2908211500000002</v>
      </c>
      <c r="H58">
        <v>1.9015952560080145E-2</v>
      </c>
      <c r="I58">
        <v>3.2586579000000002</v>
      </c>
      <c r="J58">
        <v>3.3195953999999999</v>
      </c>
    </row>
    <row r="59" spans="1:10" x14ac:dyDescent="0.25">
      <c r="A59" t="s">
        <v>23</v>
      </c>
      <c r="B59" t="s">
        <v>6</v>
      </c>
      <c r="C59">
        <v>2.97733005</v>
      </c>
      <c r="D59">
        <v>2.9610304999999997</v>
      </c>
      <c r="E59">
        <v>2.98502315</v>
      </c>
      <c r="F59">
        <v>2.3992650000000282E-2</v>
      </c>
      <c r="G59">
        <v>2.9733034900000002</v>
      </c>
      <c r="H59">
        <v>1.4301274183360912E-2</v>
      </c>
      <c r="I59">
        <v>2.9483806000000001</v>
      </c>
      <c r="J59">
        <v>2.9897301999999999</v>
      </c>
    </row>
    <row r="66" spans="1:12" x14ac:dyDescent="0.25">
      <c r="A66" t="s">
        <v>19</v>
      </c>
      <c r="B66" t="s">
        <v>9</v>
      </c>
      <c r="C66">
        <v>3390.39198474562</v>
      </c>
      <c r="D66">
        <v>3340.7066100123352</v>
      </c>
      <c r="E66">
        <v>3412.1377218768612</v>
      </c>
      <c r="F66">
        <v>71.431111864525974</v>
      </c>
      <c r="G66">
        <v>3380.3099688891334</v>
      </c>
      <c r="H66">
        <v>45.839661484788323</v>
      </c>
      <c r="I66">
        <v>3312.9645975244794</v>
      </c>
      <c r="J66">
        <v>3440.2522329636568</v>
      </c>
    </row>
    <row r="67" spans="1:12" x14ac:dyDescent="0.25">
      <c r="A67" t="s">
        <v>20</v>
      </c>
      <c r="B67" t="s">
        <v>9</v>
      </c>
      <c r="C67">
        <v>2787.6118349858207</v>
      </c>
      <c r="D67">
        <v>2776.3527217288142</v>
      </c>
      <c r="E67">
        <v>2805.0440345255529</v>
      </c>
      <c r="F67">
        <v>28.691312796738657</v>
      </c>
      <c r="G67">
        <v>2790.8204730575508</v>
      </c>
      <c r="H67">
        <v>17.290740909260865</v>
      </c>
      <c r="I67">
        <v>2770.2281289235693</v>
      </c>
      <c r="J67">
        <v>2815.5954163277911</v>
      </c>
    </row>
    <row r="68" spans="1:12" x14ac:dyDescent="0.25">
      <c r="A68" t="s">
        <v>21</v>
      </c>
      <c r="B68" t="s">
        <v>9</v>
      </c>
      <c r="C68">
        <v>3289.7809105136198</v>
      </c>
      <c r="D68">
        <v>3274.9791230597029</v>
      </c>
      <c r="E68">
        <v>3297.0986136163951</v>
      </c>
      <c r="F68">
        <v>22.119490556692199</v>
      </c>
      <c r="G68">
        <v>3292.5527804523276</v>
      </c>
      <c r="H68">
        <v>25.802994703925197</v>
      </c>
      <c r="I68">
        <v>3264.1571924096133</v>
      </c>
      <c r="J68">
        <v>3353.0373567692673</v>
      </c>
    </row>
    <row r="69" spans="1:12" x14ac:dyDescent="0.25">
      <c r="A69" t="s">
        <v>22</v>
      </c>
      <c r="B69" t="s">
        <v>9</v>
      </c>
      <c r="C69">
        <v>18662.679358244201</v>
      </c>
      <c r="D69">
        <v>18597.103679619799</v>
      </c>
      <c r="E69">
        <v>18761.47466843974</v>
      </c>
      <c r="F69">
        <v>164.37098881994098</v>
      </c>
      <c r="G69">
        <v>18675.106996634218</v>
      </c>
      <c r="H69">
        <v>107.47232737555964</v>
      </c>
      <c r="I69">
        <v>18522.823359873451</v>
      </c>
      <c r="J69">
        <v>18853.575534408843</v>
      </c>
    </row>
    <row r="70" spans="1:12" x14ac:dyDescent="0.25">
      <c r="A70" t="s">
        <v>23</v>
      </c>
      <c r="B70" t="s">
        <v>9</v>
      </c>
      <c r="C70">
        <v>4308.6445826907393</v>
      </c>
      <c r="D70">
        <v>4288.2851082225861</v>
      </c>
      <c r="E70">
        <v>4323.0603545702634</v>
      </c>
      <c r="F70">
        <v>34.775246347677239</v>
      </c>
      <c r="G70">
        <v>4308.3322111525777</v>
      </c>
      <c r="H70">
        <v>29.47360438428538</v>
      </c>
      <c r="I70">
        <v>4262.0189157179238</v>
      </c>
      <c r="J70">
        <v>4355.0783527808053</v>
      </c>
    </row>
    <row r="77" spans="1:12" x14ac:dyDescent="0.25">
      <c r="A77" t="s">
        <v>19</v>
      </c>
      <c r="B77" t="s">
        <v>10</v>
      </c>
      <c r="C77">
        <v>3249.4164199849729</v>
      </c>
      <c r="D77">
        <v>3203.8718641841983</v>
      </c>
      <c r="E77">
        <v>3267.8565668142046</v>
      </c>
      <c r="F77">
        <v>63.984702630006268</v>
      </c>
      <c r="G77">
        <v>3239.9376144078406</v>
      </c>
      <c r="H77">
        <v>43.078252747489714</v>
      </c>
      <c r="I77">
        <v>3174.6368761451163</v>
      </c>
      <c r="J77">
        <v>3295.8864275506235</v>
      </c>
      <c r="L77">
        <v>105.15479680114385</v>
      </c>
    </row>
    <row r="78" spans="1:12" x14ac:dyDescent="0.25">
      <c r="A78" t="s">
        <v>20</v>
      </c>
      <c r="B78" t="s">
        <v>10</v>
      </c>
      <c r="C78">
        <v>2676.6110792976638</v>
      </c>
      <c r="D78">
        <v>2666.2829878076427</v>
      </c>
      <c r="E78">
        <v>2693.8163478632964</v>
      </c>
      <c r="F78">
        <v>27.533360055653702</v>
      </c>
      <c r="G78">
        <v>2679.5670480310005</v>
      </c>
      <c r="H78">
        <v>17.556372040659074</v>
      </c>
      <c r="I78">
        <v>2658.6272755516507</v>
      </c>
      <c r="J78">
        <v>2704.7365768873501</v>
      </c>
      <c r="L78">
        <v>43.078252747489714</v>
      </c>
    </row>
    <row r="79" spans="1:12" x14ac:dyDescent="0.25">
      <c r="A79" t="s">
        <v>21</v>
      </c>
      <c r="B79" t="s">
        <v>10</v>
      </c>
      <c r="C79">
        <v>3121.2119144575563</v>
      </c>
      <c r="D79">
        <v>3109.4630792587077</v>
      </c>
      <c r="E79">
        <v>3128.8965879615889</v>
      </c>
      <c r="F79">
        <v>19.433508702881227</v>
      </c>
      <c r="G79">
        <v>3124.5775581767784</v>
      </c>
      <c r="H79">
        <v>24.868474071963579</v>
      </c>
      <c r="I79">
        <v>3096.5976483254376</v>
      </c>
      <c r="J79">
        <v>3183.3969904496012</v>
      </c>
      <c r="L79">
        <v>27.786335548283482</v>
      </c>
    </row>
    <row r="80" spans="1:12" x14ac:dyDescent="0.25">
      <c r="A80" t="s">
        <v>22</v>
      </c>
      <c r="B80" t="s">
        <v>10</v>
      </c>
      <c r="C80">
        <v>15799.117915910261</v>
      </c>
      <c r="D80">
        <v>15781.752151855864</v>
      </c>
      <c r="E80">
        <v>15913.261302643197</v>
      </c>
      <c r="F80">
        <v>131.50915078733306</v>
      </c>
      <c r="G80">
        <v>15822.624273070131</v>
      </c>
      <c r="H80">
        <v>105.15479680114385</v>
      </c>
      <c r="I80">
        <v>15657.963438217446</v>
      </c>
      <c r="J80">
        <v>15977.673438243595</v>
      </c>
      <c r="L80">
        <v>17.556372040659074</v>
      </c>
    </row>
    <row r="81" spans="1:12" x14ac:dyDescent="0.25">
      <c r="A81" t="s">
        <v>23</v>
      </c>
      <c r="B81" t="s">
        <v>10</v>
      </c>
      <c r="C81">
        <v>4083.9595543214064</v>
      </c>
      <c r="D81">
        <v>4065.2256899652716</v>
      </c>
      <c r="E81">
        <v>4101.4943911378059</v>
      </c>
      <c r="F81">
        <v>36.268701172534293</v>
      </c>
      <c r="G81">
        <v>4084.7088011437154</v>
      </c>
      <c r="H81">
        <v>27.786335548283482</v>
      </c>
      <c r="I81">
        <v>4043.1120106460344</v>
      </c>
      <c r="J81">
        <v>4129.8123758921829</v>
      </c>
      <c r="L81">
        <v>24.868474071963579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0747-1604-4CAD-AEA3-7DA57D57099E}">
  <dimension ref="A1:L86"/>
  <sheetViews>
    <sheetView tabSelected="1" topLeftCell="A61" workbookViewId="0">
      <selection activeCell="A118" sqref="A118"/>
    </sheetView>
  </sheetViews>
  <sheetFormatPr defaultRowHeight="15" x14ac:dyDescent="0.25"/>
  <cols>
    <col min="1" max="1" width="36.140625" bestFit="1" customWidth="1"/>
    <col min="2" max="2" width="27" bestFit="1" customWidth="1"/>
    <col min="4" max="11" width="12" bestFit="1" customWidth="1"/>
  </cols>
  <sheetData>
    <row r="1" spans="1:10" x14ac:dyDescent="0.25">
      <c r="A1" t="s">
        <v>18</v>
      </c>
      <c r="B1" t="s">
        <v>0</v>
      </c>
      <c r="C1" t="s">
        <v>2</v>
      </c>
      <c r="D1" t="s">
        <v>1</v>
      </c>
      <c r="E1" t="s">
        <v>3</v>
      </c>
      <c r="F1" t="s">
        <v>4</v>
      </c>
      <c r="G1" t="s">
        <v>42</v>
      </c>
      <c r="H1" t="s">
        <v>43</v>
      </c>
      <c r="I1" t="s">
        <v>44</v>
      </c>
      <c r="J1" t="s">
        <v>45</v>
      </c>
    </row>
    <row r="2" spans="1:10" x14ac:dyDescent="0.25">
      <c r="A2" t="s">
        <v>37</v>
      </c>
      <c r="B2" t="s">
        <v>5</v>
      </c>
      <c r="C2">
        <v>24.446493050000001</v>
      </c>
      <c r="D2">
        <v>24.235240650000001</v>
      </c>
      <c r="E2">
        <v>24.541387950000001</v>
      </c>
      <c r="F2">
        <v>0.30614729999999923</v>
      </c>
      <c r="G2">
        <v>24.418841359999998</v>
      </c>
      <c r="H2">
        <v>0.22868743124611574</v>
      </c>
      <c r="I2">
        <v>24.077439200000001</v>
      </c>
      <c r="J2">
        <v>24.791085299999999</v>
      </c>
    </row>
    <row r="3" spans="1:10" x14ac:dyDescent="0.25">
      <c r="A3" t="s">
        <v>37</v>
      </c>
      <c r="B3" t="s">
        <v>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37</v>
      </c>
      <c r="B4" t="s">
        <v>7</v>
      </c>
      <c r="C4">
        <v>5.4925685499999997</v>
      </c>
      <c r="D4">
        <v>5.46451055</v>
      </c>
      <c r="E4">
        <v>5.5338481250000005</v>
      </c>
      <c r="F4">
        <v>6.9337575000000484E-2</v>
      </c>
      <c r="G4">
        <v>5.4969717599999992</v>
      </c>
      <c r="H4">
        <v>4.710480660544121E-2</v>
      </c>
      <c r="I4">
        <v>5.4180207999999999</v>
      </c>
      <c r="J4">
        <v>5.5653636000000004</v>
      </c>
    </row>
    <row r="5" spans="1:10" x14ac:dyDescent="0.25">
      <c r="A5" t="s">
        <v>37</v>
      </c>
      <c r="B5" t="s">
        <v>8</v>
      </c>
      <c r="C5">
        <v>24.446493050000001</v>
      </c>
      <c r="D5">
        <v>24.235240650000001</v>
      </c>
      <c r="E5">
        <v>24.541387950000001</v>
      </c>
      <c r="F5">
        <v>0.30614729999999923</v>
      </c>
      <c r="G5">
        <v>24.418841359999998</v>
      </c>
      <c r="H5">
        <v>0.22868743124611574</v>
      </c>
      <c r="I5">
        <v>24.077439200000001</v>
      </c>
      <c r="J5">
        <v>24.791085299999999</v>
      </c>
    </row>
    <row r="6" spans="1:10" x14ac:dyDescent="0.25">
      <c r="A6" t="s">
        <v>37</v>
      </c>
      <c r="B6" t="s">
        <v>9</v>
      </c>
      <c r="C6">
        <v>4090.6029270271947</v>
      </c>
      <c r="D6">
        <v>4074.7491627800928</v>
      </c>
      <c r="E6">
        <v>4126.2511560991952</v>
      </c>
      <c r="F6">
        <v>51.501993319102439</v>
      </c>
      <c r="G6">
        <v>4095.5217459484402</v>
      </c>
      <c r="H6">
        <v>38.364312369967962</v>
      </c>
      <c r="I6">
        <v>4033.7080361705666</v>
      </c>
      <c r="J6">
        <v>4153.2656014348904</v>
      </c>
    </row>
    <row r="7" spans="1:10" x14ac:dyDescent="0.25">
      <c r="A7" t="s">
        <v>37</v>
      </c>
      <c r="B7" t="s">
        <v>10</v>
      </c>
      <c r="C7">
        <v>3212.8832685548959</v>
      </c>
      <c r="D7">
        <v>3198.0527634093469</v>
      </c>
      <c r="E7">
        <v>3239.3193719194269</v>
      </c>
      <c r="F7">
        <v>41.266608510080005</v>
      </c>
      <c r="G7">
        <v>3216.159228814688</v>
      </c>
      <c r="H7">
        <v>30.015196272845735</v>
      </c>
      <c r="I7">
        <v>3168.1237982138305</v>
      </c>
      <c r="J7">
        <v>3260.2227937146408</v>
      </c>
    </row>
    <row r="8" spans="1:10" x14ac:dyDescent="0.25">
      <c r="A8" t="s">
        <v>37</v>
      </c>
      <c r="B8" t="s">
        <v>11</v>
      </c>
      <c r="C8">
        <v>30.8984375</v>
      </c>
      <c r="D8">
        <v>30.7421875</v>
      </c>
      <c r="E8">
        <v>31.03125</v>
      </c>
      <c r="F8">
        <v>0.2890625</v>
      </c>
      <c r="G8">
        <v>30.865625000000001</v>
      </c>
      <c r="H8">
        <v>0.28746980517767229</v>
      </c>
      <c r="I8">
        <v>30.328125</v>
      </c>
      <c r="J8">
        <v>31.3125</v>
      </c>
    </row>
    <row r="9" spans="1:10" x14ac:dyDescent="0.25">
      <c r="A9" t="s">
        <v>37</v>
      </c>
      <c r="B9" t="s">
        <v>12</v>
      </c>
      <c r="C9">
        <v>390027264</v>
      </c>
      <c r="D9">
        <v>389249024</v>
      </c>
      <c r="E9">
        <v>390238208</v>
      </c>
      <c r="F9">
        <v>989184</v>
      </c>
      <c r="G9">
        <v>389791744</v>
      </c>
      <c r="H9">
        <v>776004.34905539604</v>
      </c>
      <c r="I9">
        <v>388349952</v>
      </c>
      <c r="J9">
        <v>390828032</v>
      </c>
    </row>
    <row r="10" spans="1:10" x14ac:dyDescent="0.25">
      <c r="A10" t="s">
        <v>37</v>
      </c>
      <c r="B10" t="s">
        <v>13</v>
      </c>
      <c r="C10">
        <v>7679</v>
      </c>
      <c r="D10">
        <v>7679</v>
      </c>
      <c r="E10">
        <v>7679</v>
      </c>
      <c r="F10">
        <v>0</v>
      </c>
      <c r="G10">
        <v>7679</v>
      </c>
      <c r="H10">
        <v>0</v>
      </c>
      <c r="I10">
        <v>7679</v>
      </c>
      <c r="J10">
        <v>7679</v>
      </c>
    </row>
    <row r="11" spans="1:10" x14ac:dyDescent="0.25">
      <c r="A11" t="s">
        <v>37</v>
      </c>
      <c r="B11" t="s">
        <v>14</v>
      </c>
      <c r="C11">
        <v>791646262</v>
      </c>
      <c r="D11">
        <v>791646262</v>
      </c>
      <c r="E11">
        <v>791646262</v>
      </c>
      <c r="F11">
        <v>0</v>
      </c>
      <c r="G11">
        <v>791646262</v>
      </c>
      <c r="H11">
        <v>0</v>
      </c>
      <c r="I11">
        <v>791646262</v>
      </c>
      <c r="J11">
        <v>791646262</v>
      </c>
    </row>
    <row r="12" spans="1:10" x14ac:dyDescent="0.25">
      <c r="A12" t="s">
        <v>38</v>
      </c>
      <c r="B12" t="s">
        <v>5</v>
      </c>
      <c r="C12">
        <v>2.0667388500000001</v>
      </c>
      <c r="D12">
        <v>2.05904335</v>
      </c>
      <c r="E12">
        <v>2.0732931250000002</v>
      </c>
      <c r="F12">
        <v>1.4249775000000131E-2</v>
      </c>
      <c r="G12">
        <v>2.0646361899999999</v>
      </c>
      <c r="H12">
        <v>1.6517851772178665E-2</v>
      </c>
      <c r="I12">
        <v>2.026748</v>
      </c>
      <c r="J12">
        <v>2.0854653999999999</v>
      </c>
    </row>
    <row r="13" spans="1:10" x14ac:dyDescent="0.25">
      <c r="A13" t="s">
        <v>38</v>
      </c>
      <c r="B13" t="s">
        <v>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38</v>
      </c>
      <c r="B14" t="s">
        <v>7</v>
      </c>
      <c r="C14">
        <v>3.3214481999999999</v>
      </c>
      <c r="D14">
        <v>3.3131656249999999</v>
      </c>
      <c r="E14">
        <v>3.35019125</v>
      </c>
      <c r="F14">
        <v>3.7025625000000062E-2</v>
      </c>
      <c r="G14">
        <v>3.3235594500000003</v>
      </c>
      <c r="H14">
        <v>3.1986628320709636E-2</v>
      </c>
      <c r="I14">
        <v>3.2576136999999998</v>
      </c>
      <c r="J14">
        <v>3.3633038000000002</v>
      </c>
    </row>
    <row r="15" spans="1:10" x14ac:dyDescent="0.25">
      <c r="A15" t="s">
        <v>38</v>
      </c>
      <c r="B15" t="s">
        <v>8</v>
      </c>
      <c r="C15">
        <v>2.0667388500000001</v>
      </c>
      <c r="D15">
        <v>2.05904335</v>
      </c>
      <c r="E15">
        <v>2.0732931250000002</v>
      </c>
      <c r="F15">
        <v>1.4249775000000131E-2</v>
      </c>
      <c r="G15">
        <v>2.0646361899999999</v>
      </c>
      <c r="H15">
        <v>1.6517851772178665E-2</v>
      </c>
      <c r="I15">
        <v>2.026748</v>
      </c>
      <c r="J15">
        <v>2.0854653999999999</v>
      </c>
    </row>
    <row r="16" spans="1:10" x14ac:dyDescent="0.25">
      <c r="A16" t="s">
        <v>38</v>
      </c>
      <c r="B16" t="s">
        <v>9</v>
      </c>
      <c r="C16">
        <v>48385.410472663629</v>
      </c>
      <c r="D16">
        <v>48232.479153316533</v>
      </c>
      <c r="E16">
        <v>48566.359465092683</v>
      </c>
      <c r="F16">
        <v>333.88031177614903</v>
      </c>
      <c r="G16">
        <v>48437.497009956031</v>
      </c>
      <c r="H16">
        <v>390.79395603404504</v>
      </c>
      <c r="I16">
        <v>47950.927404501657</v>
      </c>
      <c r="J16">
        <v>49340.125166029524</v>
      </c>
    </row>
    <row r="17" spans="1:10" x14ac:dyDescent="0.25">
      <c r="A17" t="s">
        <v>38</v>
      </c>
      <c r="B17" t="s">
        <v>10</v>
      </c>
      <c r="C17">
        <v>15927.172713513482</v>
      </c>
      <c r="D17">
        <v>15850.644571696828</v>
      </c>
      <c r="E17">
        <v>15986.473875183097</v>
      </c>
      <c r="F17">
        <v>135.82930348626905</v>
      </c>
      <c r="G17">
        <v>15940.471477224975</v>
      </c>
      <c r="H17">
        <v>142.39448293421316</v>
      </c>
      <c r="I17">
        <v>15750.607898649114</v>
      </c>
      <c r="J17">
        <v>16253.822553670347</v>
      </c>
    </row>
    <row r="18" spans="1:10" x14ac:dyDescent="0.25">
      <c r="A18" t="s">
        <v>38</v>
      </c>
      <c r="B18" t="s">
        <v>11</v>
      </c>
      <c r="C18">
        <v>6.234375</v>
      </c>
      <c r="D18">
        <v>6.22265625</v>
      </c>
      <c r="E18">
        <v>6.234375</v>
      </c>
      <c r="F18">
        <v>1.171875E-2</v>
      </c>
      <c r="G18">
        <v>6.2218749999999998</v>
      </c>
      <c r="H18">
        <v>3.439077920670662E-2</v>
      </c>
      <c r="I18">
        <v>6.140625</v>
      </c>
      <c r="J18">
        <v>6.265625</v>
      </c>
    </row>
    <row r="19" spans="1:10" x14ac:dyDescent="0.25">
      <c r="A19" t="s">
        <v>38</v>
      </c>
      <c r="B19" t="s">
        <v>12</v>
      </c>
      <c r="C19">
        <v>130199552</v>
      </c>
      <c r="D19">
        <v>130095104</v>
      </c>
      <c r="E19">
        <v>130765824</v>
      </c>
      <c r="F19">
        <v>670720</v>
      </c>
      <c r="G19">
        <v>130340454.40000001</v>
      </c>
      <c r="H19">
        <v>884068.2517145382</v>
      </c>
      <c r="I19">
        <v>128421888</v>
      </c>
      <c r="J19">
        <v>131645440</v>
      </c>
    </row>
    <row r="20" spans="1:10" x14ac:dyDescent="0.25">
      <c r="A20" t="s">
        <v>38</v>
      </c>
      <c r="B20" t="s">
        <v>13</v>
      </c>
      <c r="C20">
        <v>434</v>
      </c>
      <c r="D20">
        <v>434</v>
      </c>
      <c r="E20">
        <v>434</v>
      </c>
      <c r="F20">
        <v>0</v>
      </c>
      <c r="G20">
        <v>434.4</v>
      </c>
      <c r="H20">
        <v>0.84327404271156781</v>
      </c>
      <c r="I20">
        <v>434</v>
      </c>
      <c r="J20">
        <v>436</v>
      </c>
    </row>
    <row r="21" spans="1:10" x14ac:dyDescent="0.25">
      <c r="A21" t="s">
        <v>38</v>
      </c>
      <c r="B21" t="s">
        <v>14</v>
      </c>
      <c r="C21">
        <v>67244897</v>
      </c>
      <c r="D21">
        <v>67244825.5</v>
      </c>
      <c r="E21">
        <v>67245016</v>
      </c>
      <c r="F21">
        <v>190.5</v>
      </c>
      <c r="G21">
        <v>67244931.200000003</v>
      </c>
      <c r="H21">
        <v>180.41236715431185</v>
      </c>
      <c r="I21">
        <v>67244714</v>
      </c>
      <c r="J21">
        <v>67245292</v>
      </c>
    </row>
    <row r="22" spans="1:10" x14ac:dyDescent="0.25">
      <c r="A22" t="s">
        <v>39</v>
      </c>
      <c r="B22" t="s">
        <v>5</v>
      </c>
      <c r="C22">
        <v>26.895168599999998</v>
      </c>
      <c r="D22">
        <v>26.847587449999999</v>
      </c>
      <c r="E22">
        <v>27.144172874999999</v>
      </c>
      <c r="F22">
        <v>0.29658542499999996</v>
      </c>
      <c r="G22">
        <v>26.962041059999997</v>
      </c>
      <c r="H22">
        <v>0.22126305985091974</v>
      </c>
      <c r="I22">
        <v>26.683817000000001</v>
      </c>
      <c r="J22">
        <v>27.309246600000002</v>
      </c>
    </row>
    <row r="23" spans="1:10" x14ac:dyDescent="0.25">
      <c r="A23" t="s">
        <v>39</v>
      </c>
      <c r="B23" t="s">
        <v>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39</v>
      </c>
      <c r="B24" t="s">
        <v>7</v>
      </c>
      <c r="C24">
        <v>8.92537995</v>
      </c>
      <c r="D24">
        <v>8.8665330749999995</v>
      </c>
      <c r="E24">
        <v>8.9390303250000009</v>
      </c>
      <c r="F24">
        <v>7.2497250000001401E-2</v>
      </c>
      <c r="G24">
        <v>8.9093537300000012</v>
      </c>
      <c r="H24">
        <v>5.9041923408033749E-2</v>
      </c>
      <c r="I24">
        <v>8.8081595999999998</v>
      </c>
      <c r="J24">
        <v>8.9829320999999993</v>
      </c>
    </row>
    <row r="25" spans="1:10" x14ac:dyDescent="0.25">
      <c r="A25" t="s">
        <v>39</v>
      </c>
      <c r="B25" t="s">
        <v>8</v>
      </c>
      <c r="C25">
        <v>26.895168599999998</v>
      </c>
      <c r="D25">
        <v>26.847587449999999</v>
      </c>
      <c r="E25">
        <v>27.144172874999999</v>
      </c>
      <c r="F25">
        <v>0.29658542499999996</v>
      </c>
      <c r="G25">
        <v>26.962041059999997</v>
      </c>
      <c r="H25">
        <v>0.22126305985091974</v>
      </c>
      <c r="I25">
        <v>26.683817000000001</v>
      </c>
      <c r="J25">
        <v>27.309246600000002</v>
      </c>
    </row>
    <row r="26" spans="1:10" x14ac:dyDescent="0.25">
      <c r="A26" t="s">
        <v>39</v>
      </c>
      <c r="B26" t="s">
        <v>9</v>
      </c>
      <c r="C26">
        <v>3718.1399333341515</v>
      </c>
      <c r="D26">
        <v>3684.0733923076359</v>
      </c>
      <c r="E26">
        <v>3724.7294971849187</v>
      </c>
      <c r="F26">
        <v>40.656104877282814</v>
      </c>
      <c r="G26">
        <v>3709.1421513420455</v>
      </c>
      <c r="H26">
        <v>30.346516856351233</v>
      </c>
      <c r="I26">
        <v>3661.7634116643844</v>
      </c>
      <c r="J26">
        <v>3747.589784474987</v>
      </c>
    </row>
    <row r="27" spans="1:10" x14ac:dyDescent="0.25">
      <c r="A27" t="s">
        <v>39</v>
      </c>
      <c r="B27" t="s">
        <v>10</v>
      </c>
      <c r="C27">
        <v>2690.6579672986263</v>
      </c>
      <c r="D27">
        <v>2669.0774217263961</v>
      </c>
      <c r="E27">
        <v>2699.4104987904111</v>
      </c>
      <c r="F27">
        <v>30.333077064015015</v>
      </c>
      <c r="G27">
        <v>2687.7206858102873</v>
      </c>
      <c r="H27">
        <v>20.755823981157903</v>
      </c>
      <c r="I27">
        <v>2658.6049045735685</v>
      </c>
      <c r="J27">
        <v>2714.9979082706077</v>
      </c>
    </row>
    <row r="28" spans="1:10" x14ac:dyDescent="0.25">
      <c r="A28" t="s">
        <v>39</v>
      </c>
      <c r="B28" t="s">
        <v>11</v>
      </c>
      <c r="C28">
        <v>36.9375</v>
      </c>
      <c r="D28">
        <v>36.72265625</v>
      </c>
      <c r="E28">
        <v>37.125</v>
      </c>
      <c r="F28">
        <v>0.40234375</v>
      </c>
      <c r="G28">
        <v>36.920312500000001</v>
      </c>
      <c r="H28">
        <v>0.27964918654400239</v>
      </c>
      <c r="I28">
        <v>36.515625</v>
      </c>
      <c r="J28">
        <v>37.328125</v>
      </c>
    </row>
    <row r="29" spans="1:10" x14ac:dyDescent="0.25">
      <c r="A29" t="s">
        <v>39</v>
      </c>
      <c r="B29" t="s">
        <v>12</v>
      </c>
      <c r="C29">
        <v>419741696</v>
      </c>
      <c r="D29">
        <v>419343360</v>
      </c>
      <c r="E29">
        <v>420317184</v>
      </c>
      <c r="F29">
        <v>973824</v>
      </c>
      <c r="G29">
        <v>419625369.60000002</v>
      </c>
      <c r="H29">
        <v>884913.39126985252</v>
      </c>
      <c r="I29">
        <v>417853440</v>
      </c>
      <c r="J29">
        <v>420519936</v>
      </c>
    </row>
    <row r="30" spans="1:10" x14ac:dyDescent="0.25">
      <c r="A30" t="s">
        <v>39</v>
      </c>
      <c r="B30" t="s">
        <v>13</v>
      </c>
      <c r="C30">
        <v>7917</v>
      </c>
      <c r="D30">
        <v>7916</v>
      </c>
      <c r="E30">
        <v>7918</v>
      </c>
      <c r="F30">
        <v>2</v>
      </c>
      <c r="G30">
        <v>7917</v>
      </c>
      <c r="H30">
        <v>1.0540925533894598</v>
      </c>
      <c r="I30">
        <v>7916</v>
      </c>
      <c r="J30">
        <v>7918</v>
      </c>
    </row>
    <row r="31" spans="1:10" x14ac:dyDescent="0.25">
      <c r="A31" t="s">
        <v>39</v>
      </c>
      <c r="B31" t="s">
        <v>14</v>
      </c>
      <c r="C31">
        <v>815444988</v>
      </c>
      <c r="D31">
        <v>815444785.5</v>
      </c>
      <c r="E31">
        <v>815445215</v>
      </c>
      <c r="F31">
        <v>429.5</v>
      </c>
      <c r="G31">
        <v>815445005.39999998</v>
      </c>
      <c r="H31">
        <v>264.73307311327767</v>
      </c>
      <c r="I31">
        <v>815444690</v>
      </c>
      <c r="J31">
        <v>815445424</v>
      </c>
    </row>
    <row r="32" spans="1:10" x14ac:dyDescent="0.25">
      <c r="A32" t="s">
        <v>40</v>
      </c>
      <c r="B32" t="s">
        <v>5</v>
      </c>
      <c r="C32">
        <v>23.434903649999999</v>
      </c>
      <c r="D32">
        <v>23.180086625000001</v>
      </c>
      <c r="E32">
        <v>23.615215325000001</v>
      </c>
      <c r="F32">
        <v>0.43512869999999992</v>
      </c>
      <c r="G32">
        <v>23.381787600000003</v>
      </c>
      <c r="H32">
        <v>0.31782991301827185</v>
      </c>
      <c r="I32">
        <v>22.901176599999999</v>
      </c>
      <c r="J32">
        <v>23.787817499999999</v>
      </c>
    </row>
    <row r="33" spans="1:10" x14ac:dyDescent="0.25">
      <c r="A33" t="s">
        <v>40</v>
      </c>
      <c r="B33" t="s">
        <v>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40</v>
      </c>
      <c r="B34" t="s">
        <v>7</v>
      </c>
      <c r="C34">
        <v>6.3514838999999998</v>
      </c>
      <c r="D34">
        <v>6.3021282999999997</v>
      </c>
      <c r="E34">
        <v>6.3895971500000002</v>
      </c>
      <c r="F34">
        <v>8.7468850000000486E-2</v>
      </c>
      <c r="G34">
        <v>6.3296092999999995</v>
      </c>
      <c r="H34">
        <v>7.5466557136551718E-2</v>
      </c>
      <c r="I34">
        <v>6.1756013000000003</v>
      </c>
      <c r="J34">
        <v>6.4073523999999997</v>
      </c>
    </row>
    <row r="35" spans="1:10" x14ac:dyDescent="0.25">
      <c r="A35" t="s">
        <v>40</v>
      </c>
      <c r="B35" t="s">
        <v>8</v>
      </c>
      <c r="C35">
        <v>23.434903649999999</v>
      </c>
      <c r="D35">
        <v>23.180086625000001</v>
      </c>
      <c r="E35">
        <v>23.615215325000001</v>
      </c>
      <c r="F35">
        <v>0.43512869999999992</v>
      </c>
      <c r="G35">
        <v>23.381787600000003</v>
      </c>
      <c r="H35">
        <v>0.31782991301827185</v>
      </c>
      <c r="I35">
        <v>22.901176599999999</v>
      </c>
      <c r="J35">
        <v>23.787817499999999</v>
      </c>
    </row>
    <row r="36" spans="1:10" x14ac:dyDescent="0.25">
      <c r="A36" t="s">
        <v>40</v>
      </c>
      <c r="B36" t="s">
        <v>9</v>
      </c>
      <c r="C36">
        <v>4267.219453897691</v>
      </c>
      <c r="D36">
        <v>4234.5678682683938</v>
      </c>
      <c r="E36">
        <v>4314.0500003523357</v>
      </c>
      <c r="F36">
        <v>79.482132083941906</v>
      </c>
      <c r="G36">
        <v>4277.5466683931718</v>
      </c>
      <c r="H36">
        <v>58.342016776863581</v>
      </c>
      <c r="I36">
        <v>4203.8324869442104</v>
      </c>
      <c r="J36">
        <v>4366.5878721707249</v>
      </c>
    </row>
    <row r="37" spans="1:10" x14ac:dyDescent="0.25">
      <c r="A37" t="s">
        <v>40</v>
      </c>
      <c r="B37" t="s">
        <v>10</v>
      </c>
      <c r="C37">
        <v>3206.4299573444005</v>
      </c>
      <c r="D37">
        <v>3184.1377534158692</v>
      </c>
      <c r="E37">
        <v>3235.1937766864758</v>
      </c>
      <c r="F37">
        <v>51.056023270606602</v>
      </c>
      <c r="G37">
        <v>3212.6490226920878</v>
      </c>
      <c r="H37">
        <v>41.450587133571148</v>
      </c>
      <c r="I37">
        <v>3162.9017434767602</v>
      </c>
      <c r="J37">
        <v>3274.8496706457049</v>
      </c>
    </row>
    <row r="38" spans="1:10" x14ac:dyDescent="0.25">
      <c r="A38" t="s">
        <v>40</v>
      </c>
      <c r="B38" t="s">
        <v>11</v>
      </c>
      <c r="C38">
        <v>30.984375</v>
      </c>
      <c r="D38">
        <v>30.65234375</v>
      </c>
      <c r="E38">
        <v>31.2578125</v>
      </c>
      <c r="F38">
        <v>0.60546875</v>
      </c>
      <c r="G38">
        <v>30.946874999999999</v>
      </c>
      <c r="H38">
        <v>0.3758814871220863</v>
      </c>
      <c r="I38">
        <v>30.421875</v>
      </c>
      <c r="J38">
        <v>31.40625</v>
      </c>
    </row>
    <row r="39" spans="1:10" x14ac:dyDescent="0.25">
      <c r="A39" t="s">
        <v>40</v>
      </c>
      <c r="B39" t="s">
        <v>12</v>
      </c>
      <c r="C39">
        <v>230164480</v>
      </c>
      <c r="D39">
        <v>230003712</v>
      </c>
      <c r="E39">
        <v>230455296</v>
      </c>
      <c r="F39">
        <v>451584</v>
      </c>
      <c r="G39">
        <v>229988761.59999999</v>
      </c>
      <c r="H39">
        <v>779214.76451263984</v>
      </c>
      <c r="I39">
        <v>228536320</v>
      </c>
      <c r="J39">
        <v>230854656</v>
      </c>
    </row>
    <row r="40" spans="1:10" x14ac:dyDescent="0.25">
      <c r="A40" t="s">
        <v>40</v>
      </c>
      <c r="B40" t="s">
        <v>13</v>
      </c>
      <c r="C40">
        <v>3557</v>
      </c>
      <c r="D40">
        <v>3555</v>
      </c>
      <c r="E40">
        <v>3559</v>
      </c>
      <c r="F40">
        <v>4</v>
      </c>
      <c r="G40">
        <v>3556.8</v>
      </c>
      <c r="H40">
        <v>3.4576806613039839</v>
      </c>
      <c r="I40">
        <v>3551</v>
      </c>
      <c r="J40">
        <v>3563</v>
      </c>
    </row>
    <row r="41" spans="1:10" x14ac:dyDescent="0.25">
      <c r="A41" t="s">
        <v>40</v>
      </c>
      <c r="B41" t="s">
        <v>14</v>
      </c>
      <c r="C41">
        <v>379555799</v>
      </c>
      <c r="D41">
        <v>379553846</v>
      </c>
      <c r="E41">
        <v>379556125.5</v>
      </c>
      <c r="F41">
        <v>2279.5</v>
      </c>
      <c r="G41">
        <v>379555050.39999998</v>
      </c>
      <c r="H41">
        <v>1869.607397883904</v>
      </c>
      <c r="I41">
        <v>379551946</v>
      </c>
      <c r="J41">
        <v>379557858</v>
      </c>
    </row>
    <row r="42" spans="1:10" x14ac:dyDescent="0.25">
      <c r="A42" t="s">
        <v>41</v>
      </c>
      <c r="B42" t="s">
        <v>5</v>
      </c>
      <c r="C42">
        <v>20.309132050000002</v>
      </c>
      <c r="D42">
        <v>20.219908750000002</v>
      </c>
      <c r="E42">
        <v>20.388618075</v>
      </c>
      <c r="F42">
        <v>0.16870932499999824</v>
      </c>
      <c r="G42">
        <v>20.323967710000002</v>
      </c>
      <c r="H42">
        <v>0.13832038484819284</v>
      </c>
      <c r="I42">
        <v>20.133100599999999</v>
      </c>
      <c r="J42">
        <v>20.6039599</v>
      </c>
    </row>
    <row r="43" spans="1:10" x14ac:dyDescent="0.25">
      <c r="A43" t="s">
        <v>41</v>
      </c>
      <c r="B43" t="s">
        <v>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41</v>
      </c>
      <c r="B44" t="s">
        <v>7</v>
      </c>
      <c r="C44">
        <v>2.8693252</v>
      </c>
      <c r="D44">
        <v>2.8552169250000001</v>
      </c>
      <c r="E44">
        <v>2.8862019749999996</v>
      </c>
      <c r="F44">
        <v>3.0985049999999514E-2</v>
      </c>
      <c r="G44">
        <v>2.8712848200000001</v>
      </c>
      <c r="H44">
        <v>2.2563684459118476E-2</v>
      </c>
      <c r="I44">
        <v>2.8399708000000001</v>
      </c>
      <c r="J44">
        <v>2.9116726000000002</v>
      </c>
    </row>
    <row r="45" spans="1:10" x14ac:dyDescent="0.25">
      <c r="A45" t="s">
        <v>41</v>
      </c>
      <c r="B45" t="s">
        <v>8</v>
      </c>
      <c r="C45">
        <v>20.309132050000002</v>
      </c>
      <c r="D45">
        <v>20.219908750000002</v>
      </c>
      <c r="E45">
        <v>20.388618075</v>
      </c>
      <c r="F45">
        <v>0.16870932499999824</v>
      </c>
      <c r="G45">
        <v>20.323967710000002</v>
      </c>
      <c r="H45">
        <v>0.13832038484819284</v>
      </c>
      <c r="I45">
        <v>20.133100599999999</v>
      </c>
      <c r="J45">
        <v>20.6039599</v>
      </c>
    </row>
    <row r="46" spans="1:10" x14ac:dyDescent="0.25">
      <c r="A46" t="s">
        <v>41</v>
      </c>
      <c r="B46" t="s">
        <v>9</v>
      </c>
      <c r="C46">
        <v>4923.9030754292871</v>
      </c>
      <c r="D46">
        <v>4904.698724917519</v>
      </c>
      <c r="E46">
        <v>4945.6228218723463</v>
      </c>
      <c r="F46">
        <v>40.924096954827291</v>
      </c>
      <c r="G46">
        <v>4920.5034020513813</v>
      </c>
      <c r="H46">
        <v>33.355543984384781</v>
      </c>
      <c r="I46">
        <v>4853.4359649962244</v>
      </c>
      <c r="J46">
        <v>4966.9448331271942</v>
      </c>
    </row>
    <row r="47" spans="1:10" x14ac:dyDescent="0.25">
      <c r="A47" t="s">
        <v>41</v>
      </c>
      <c r="B47" t="s">
        <v>10</v>
      </c>
      <c r="C47">
        <v>4107.4561248259233</v>
      </c>
      <c r="D47">
        <v>4093.1564842943667</v>
      </c>
      <c r="E47">
        <v>4129.1939462777918</v>
      </c>
      <c r="F47">
        <v>36.037461983425146</v>
      </c>
      <c r="G47">
        <v>4105.7800927580411</v>
      </c>
      <c r="H47">
        <v>28.720418358080011</v>
      </c>
      <c r="I47">
        <v>4042.7874065070218</v>
      </c>
      <c r="J47">
        <v>4137.915464505676</v>
      </c>
    </row>
    <row r="48" spans="1:10" x14ac:dyDescent="0.25">
      <c r="A48" t="s">
        <v>41</v>
      </c>
      <c r="B48" t="s">
        <v>11</v>
      </c>
      <c r="C48">
        <v>24.09375</v>
      </c>
      <c r="D48">
        <v>24.0234375</v>
      </c>
      <c r="E48">
        <v>24.265625</v>
      </c>
      <c r="F48">
        <v>0.2421875</v>
      </c>
      <c r="G48">
        <v>24.143750000000001</v>
      </c>
      <c r="H48">
        <v>0.16217917046690469</v>
      </c>
      <c r="I48">
        <v>23.953125</v>
      </c>
      <c r="J48">
        <v>24.453125</v>
      </c>
    </row>
    <row r="49" spans="1:10" x14ac:dyDescent="0.25">
      <c r="A49" t="s">
        <v>41</v>
      </c>
      <c r="B49" t="s">
        <v>12</v>
      </c>
      <c r="C49">
        <v>199804928</v>
      </c>
      <c r="D49">
        <v>199533568</v>
      </c>
      <c r="E49">
        <v>200236032</v>
      </c>
      <c r="F49">
        <v>702464</v>
      </c>
      <c r="G49">
        <v>199837696</v>
      </c>
      <c r="H49">
        <v>442192.03084431792</v>
      </c>
      <c r="I49">
        <v>199114752</v>
      </c>
      <c r="J49">
        <v>200409088</v>
      </c>
    </row>
    <row r="50" spans="1:10" x14ac:dyDescent="0.25">
      <c r="A50" t="s">
        <v>41</v>
      </c>
      <c r="B50" t="s">
        <v>13</v>
      </c>
      <c r="C50">
        <v>3319</v>
      </c>
      <c r="D50">
        <v>3316.5</v>
      </c>
      <c r="E50">
        <v>3322</v>
      </c>
      <c r="F50">
        <v>5.5</v>
      </c>
      <c r="G50">
        <v>3319.4</v>
      </c>
      <c r="H50">
        <v>4.7187568984497039</v>
      </c>
      <c r="I50">
        <v>3312</v>
      </c>
      <c r="J50">
        <v>3326</v>
      </c>
    </row>
    <row r="51" spans="1:10" x14ac:dyDescent="0.25">
      <c r="A51" t="s">
        <v>41</v>
      </c>
      <c r="B51" t="s">
        <v>14</v>
      </c>
      <c r="C51">
        <v>355756371</v>
      </c>
      <c r="D51">
        <v>355755723</v>
      </c>
      <c r="E51">
        <v>355757118</v>
      </c>
      <c r="F51">
        <v>1395</v>
      </c>
      <c r="G51">
        <v>355756160.80000001</v>
      </c>
      <c r="H51">
        <v>1378.5684039772725</v>
      </c>
      <c r="I51">
        <v>355753290</v>
      </c>
      <c r="J51">
        <v>355757816</v>
      </c>
    </row>
    <row r="74" spans="1:10" x14ac:dyDescent="0.25">
      <c r="G74" t="s">
        <v>59</v>
      </c>
      <c r="H74" t="s">
        <v>43</v>
      </c>
    </row>
    <row r="75" spans="1:10" x14ac:dyDescent="0.25">
      <c r="A75" t="s">
        <v>37</v>
      </c>
      <c r="B75" t="s">
        <v>5</v>
      </c>
      <c r="C75">
        <v>24.446493050000001</v>
      </c>
      <c r="D75">
        <v>24.235240650000001</v>
      </c>
      <c r="E75">
        <v>24.541387950000001</v>
      </c>
      <c r="F75">
        <v>0.30614729999999923</v>
      </c>
      <c r="G75">
        <v>24.418841359999998</v>
      </c>
      <c r="H75">
        <v>0.22868743124611574</v>
      </c>
      <c r="I75">
        <v>24.077439200000001</v>
      </c>
      <c r="J75">
        <v>24.791085299999999</v>
      </c>
    </row>
    <row r="76" spans="1:10" x14ac:dyDescent="0.25">
      <c r="A76" t="s">
        <v>38</v>
      </c>
      <c r="B76" t="s">
        <v>5</v>
      </c>
      <c r="C76">
        <v>2.0667388500000001</v>
      </c>
      <c r="D76">
        <v>2.05904335</v>
      </c>
      <c r="E76">
        <v>2.0732931250000002</v>
      </c>
      <c r="F76">
        <v>1.4249775000000131E-2</v>
      </c>
      <c r="G76">
        <v>2.0646361899999999</v>
      </c>
      <c r="H76">
        <v>1.6517851772178665E-2</v>
      </c>
      <c r="I76">
        <v>2.026748</v>
      </c>
      <c r="J76">
        <v>2.0854653999999999</v>
      </c>
    </row>
    <row r="77" spans="1:10" x14ac:dyDescent="0.25">
      <c r="A77" t="s">
        <v>39</v>
      </c>
      <c r="B77" t="s">
        <v>5</v>
      </c>
      <c r="C77">
        <v>26.895168599999998</v>
      </c>
      <c r="D77">
        <v>26.847587449999999</v>
      </c>
      <c r="E77">
        <v>27.144172874999999</v>
      </c>
      <c r="F77">
        <v>0.29658542499999996</v>
      </c>
      <c r="G77">
        <v>26.962041059999997</v>
      </c>
      <c r="H77">
        <v>0.22126305985091974</v>
      </c>
      <c r="I77">
        <v>26.683817000000001</v>
      </c>
      <c r="J77">
        <v>27.309246600000002</v>
      </c>
    </row>
    <row r="78" spans="1:10" x14ac:dyDescent="0.25">
      <c r="A78" t="s">
        <v>40</v>
      </c>
      <c r="B78" t="s">
        <v>5</v>
      </c>
      <c r="C78">
        <v>23.434903649999999</v>
      </c>
      <c r="D78">
        <v>23.180086625000001</v>
      </c>
      <c r="E78">
        <v>23.615215325000001</v>
      </c>
      <c r="F78">
        <v>0.43512869999999992</v>
      </c>
      <c r="G78">
        <v>23.381787600000003</v>
      </c>
      <c r="H78">
        <v>0.31782991301827185</v>
      </c>
      <c r="I78">
        <v>22.901176599999999</v>
      </c>
      <c r="J78">
        <v>23.787817499999999</v>
      </c>
    </row>
    <row r="79" spans="1:10" x14ac:dyDescent="0.25">
      <c r="A79" t="s">
        <v>41</v>
      </c>
      <c r="B79" t="s">
        <v>5</v>
      </c>
      <c r="C79">
        <v>20.309132050000002</v>
      </c>
      <c r="D79">
        <v>20.219908750000002</v>
      </c>
      <c r="E79">
        <v>20.388618075</v>
      </c>
      <c r="F79">
        <v>0.16870932499999824</v>
      </c>
      <c r="G79">
        <v>20.323967710000002</v>
      </c>
      <c r="H79">
        <v>0.13832038484819284</v>
      </c>
      <c r="I79">
        <v>20.133100599999999</v>
      </c>
      <c r="J79">
        <v>20.6039599</v>
      </c>
    </row>
    <row r="82" spans="1:12" x14ac:dyDescent="0.25">
      <c r="A82" t="s">
        <v>37</v>
      </c>
      <c r="B82" t="s">
        <v>10</v>
      </c>
      <c r="C82">
        <v>3212.8832685548959</v>
      </c>
      <c r="D82">
        <v>3198.0527634093469</v>
      </c>
      <c r="E82">
        <v>3239.3193719194269</v>
      </c>
      <c r="F82">
        <v>41.266608510080005</v>
      </c>
      <c r="G82">
        <v>3216.159228814688</v>
      </c>
      <c r="H82">
        <v>30.015196272845735</v>
      </c>
      <c r="I82">
        <v>3168.1237982138305</v>
      </c>
      <c r="J82">
        <v>3260.2227937146408</v>
      </c>
      <c r="L82">
        <v>20.755823981157903</v>
      </c>
    </row>
    <row r="83" spans="1:12" x14ac:dyDescent="0.25">
      <c r="A83" t="s">
        <v>38</v>
      </c>
      <c r="B83" t="s">
        <v>10</v>
      </c>
      <c r="C83">
        <v>15927.172713513482</v>
      </c>
      <c r="D83">
        <v>15850.644571696828</v>
      </c>
      <c r="E83">
        <v>15986.473875183097</v>
      </c>
      <c r="F83">
        <v>135.82930348626905</v>
      </c>
      <c r="G83">
        <v>15940.471477224975</v>
      </c>
      <c r="H83">
        <v>142.39448293421316</v>
      </c>
      <c r="I83">
        <v>15750.607898649114</v>
      </c>
      <c r="J83">
        <v>16253.822553670347</v>
      </c>
      <c r="L83">
        <v>30.015196272845735</v>
      </c>
    </row>
    <row r="84" spans="1:12" x14ac:dyDescent="0.25">
      <c r="A84" t="s">
        <v>39</v>
      </c>
      <c r="B84" t="s">
        <v>10</v>
      </c>
      <c r="C84">
        <v>2690.6579672986263</v>
      </c>
      <c r="D84">
        <v>2669.0774217263961</v>
      </c>
      <c r="E84">
        <v>2699.4104987904111</v>
      </c>
      <c r="F84">
        <v>30.333077064015015</v>
      </c>
      <c r="G84">
        <v>2687.7206858102873</v>
      </c>
      <c r="H84">
        <v>20.755823981157903</v>
      </c>
      <c r="I84">
        <v>2658.6049045735685</v>
      </c>
      <c r="J84">
        <v>2714.9979082706077</v>
      </c>
      <c r="L84">
        <v>28.720418358080011</v>
      </c>
    </row>
    <row r="85" spans="1:12" x14ac:dyDescent="0.25">
      <c r="A85" t="s">
        <v>40</v>
      </c>
      <c r="B85" t="s">
        <v>10</v>
      </c>
      <c r="C85">
        <v>3206.4299573444005</v>
      </c>
      <c r="D85">
        <v>3184.1377534158692</v>
      </c>
      <c r="E85">
        <v>3235.1937766864758</v>
      </c>
      <c r="F85">
        <v>51.056023270606602</v>
      </c>
      <c r="G85">
        <v>3212.6490226920878</v>
      </c>
      <c r="H85">
        <v>41.450587133571148</v>
      </c>
      <c r="I85">
        <v>3162.9017434767602</v>
      </c>
      <c r="J85">
        <v>3274.8496706457049</v>
      </c>
      <c r="L85">
        <v>20.755823981157903</v>
      </c>
    </row>
    <row r="86" spans="1:12" x14ac:dyDescent="0.25">
      <c r="A86" t="s">
        <v>41</v>
      </c>
      <c r="B86" t="s">
        <v>10</v>
      </c>
      <c r="C86">
        <v>4107.4561248259233</v>
      </c>
      <c r="D86">
        <v>4093.1564842943667</v>
      </c>
      <c r="E86">
        <v>4129.1939462777918</v>
      </c>
      <c r="F86">
        <v>36.037461983425146</v>
      </c>
      <c r="G86">
        <v>4105.7800927580411</v>
      </c>
      <c r="H86">
        <v>28.720418358080011</v>
      </c>
      <c r="I86">
        <v>4042.7874065070218</v>
      </c>
      <c r="J86">
        <v>4137.915464505676</v>
      </c>
      <c r="L86">
        <v>41.450587133571148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39F3D-CA2B-41A0-B57C-3C05F28927F9}">
  <dimension ref="A32"/>
  <sheetViews>
    <sheetView zoomScaleNormal="100" workbookViewId="0">
      <selection activeCell="J6" sqref="A1:J6"/>
    </sheetView>
  </sheetViews>
  <sheetFormatPr defaultRowHeight="15" x14ac:dyDescent="0.25"/>
  <cols>
    <col min="1" max="1" width="36.140625" bestFit="1" customWidth="1"/>
    <col min="2" max="2" width="27" bestFit="1" customWidth="1"/>
    <col min="4" max="11" width="12" bestFit="1" customWidth="1"/>
  </cols>
  <sheetData>
    <row r="32" ht="17.2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725EE-4559-4891-AAD6-460D8C58B898}">
  <dimension ref="A1:K6"/>
  <sheetViews>
    <sheetView zoomScale="70" zoomScaleNormal="70" workbookViewId="0">
      <selection activeCell="A28" sqref="A28"/>
    </sheetView>
  </sheetViews>
  <sheetFormatPr defaultRowHeight="15" x14ac:dyDescent="0.25"/>
  <cols>
    <col min="1" max="1" width="36.28515625" bestFit="1" customWidth="1"/>
    <col min="2" max="2" width="27" bestFit="1" customWidth="1"/>
    <col min="3" max="3" width="12" customWidth="1"/>
    <col min="4" max="4" width="13.85546875" bestFit="1" customWidth="1"/>
    <col min="5" max="5" width="12" bestFit="1" customWidth="1"/>
    <col min="6" max="9" width="12" customWidth="1"/>
    <col min="10" max="10" width="14.85546875" bestFit="1" customWidth="1"/>
    <col min="11" max="12" width="12" bestFit="1" customWidth="1"/>
  </cols>
  <sheetData>
    <row r="1" spans="1:11" x14ac:dyDescent="0.25">
      <c r="A1" t="s">
        <v>18</v>
      </c>
      <c r="B1" t="s">
        <v>0</v>
      </c>
      <c r="C1" t="s">
        <v>26</v>
      </c>
      <c r="D1" t="s">
        <v>30</v>
      </c>
      <c r="E1" t="s">
        <v>27</v>
      </c>
      <c r="F1" t="s">
        <v>31</v>
      </c>
      <c r="G1" t="s">
        <v>28</v>
      </c>
      <c r="H1" t="s">
        <v>32</v>
      </c>
      <c r="I1" t="s">
        <v>33</v>
      </c>
      <c r="J1" t="s">
        <v>34</v>
      </c>
      <c r="K1" t="s">
        <v>29</v>
      </c>
    </row>
    <row r="2" spans="1:11" ht="14.25" customHeight="1" x14ac:dyDescent="0.25">
      <c r="A2" t="s">
        <v>17</v>
      </c>
      <c r="B2" t="s">
        <v>5</v>
      </c>
      <c r="C2">
        <v>2.0653135999999996</v>
      </c>
      <c r="D2" s="1">
        <f>(C2/100000)*1000000</f>
        <v>20.653135999999996</v>
      </c>
      <c r="E2">
        <v>2.0548840250000002</v>
      </c>
      <c r="F2">
        <f>E2*10</f>
        <v>20.548840250000001</v>
      </c>
      <c r="G2">
        <v>2.073299075</v>
      </c>
      <c r="H2">
        <f>G2*10</f>
        <v>20.732990749999999</v>
      </c>
      <c r="I2">
        <f>D2-F2</f>
        <v>0.10429574999999502</v>
      </c>
      <c r="J2">
        <f>H2-D2</f>
        <v>7.9854750000002639E-2</v>
      </c>
      <c r="K2">
        <f>H2-F2</f>
        <v>0.18415049999999766</v>
      </c>
    </row>
    <row r="3" spans="1:11" x14ac:dyDescent="0.25">
      <c r="A3" t="s">
        <v>24</v>
      </c>
      <c r="B3" t="s">
        <v>5</v>
      </c>
      <c r="C3">
        <v>24.051550599999999</v>
      </c>
      <c r="D3" s="1">
        <f>(C3/100000)*1000000</f>
        <v>240.51550599999999</v>
      </c>
      <c r="E3">
        <v>23.927536775</v>
      </c>
      <c r="F3">
        <f>E3*10</f>
        <v>239.27536774999999</v>
      </c>
      <c r="G3">
        <v>24.408287824999999</v>
      </c>
      <c r="H3">
        <f>G3*10</f>
        <v>244.08287824999999</v>
      </c>
      <c r="I3">
        <f>D3-F3</f>
        <v>1.2401382500000011</v>
      </c>
      <c r="J3">
        <f>H3-D3</f>
        <v>3.5673722500000054</v>
      </c>
      <c r="K3">
        <f>H3-F3</f>
        <v>4.8075105000000065</v>
      </c>
    </row>
    <row r="4" spans="1:11" x14ac:dyDescent="0.25">
      <c r="A4" t="s">
        <v>25</v>
      </c>
      <c r="B4" t="s">
        <v>5</v>
      </c>
      <c r="C4">
        <v>20.241783699999999</v>
      </c>
      <c r="D4" s="1">
        <f>(C4/100000)*1000000</f>
        <v>202.41783699999999</v>
      </c>
      <c r="E4">
        <v>20.161778925</v>
      </c>
      <c r="F4">
        <f>E4*10</f>
        <v>201.61778924999999</v>
      </c>
      <c r="G4">
        <v>20.334633400000001</v>
      </c>
      <c r="H4">
        <f>G4*10</f>
        <v>203.34633400000001</v>
      </c>
      <c r="I4">
        <f>D4-F4</f>
        <v>0.8000477500000045</v>
      </c>
      <c r="J4">
        <f>H4-D4</f>
        <v>0.92849700000002144</v>
      </c>
      <c r="K4">
        <f>H4-F4</f>
        <v>1.7285447500000259</v>
      </c>
    </row>
    <row r="5" spans="1:11" x14ac:dyDescent="0.25">
      <c r="A5" t="s">
        <v>35</v>
      </c>
      <c r="B5" t="s">
        <v>5</v>
      </c>
      <c r="C5">
        <v>26.866132550000003</v>
      </c>
      <c r="D5" s="1">
        <f>(C5/100000)*1000000</f>
        <v>268.66132550000003</v>
      </c>
      <c r="E5">
        <v>26.7050603</v>
      </c>
      <c r="F5">
        <f>E5*10</f>
        <v>267.05060300000002</v>
      </c>
      <c r="G5">
        <v>26.956754525000001</v>
      </c>
      <c r="H5">
        <f>G5*10</f>
        <v>269.56754525000002</v>
      </c>
      <c r="I5">
        <f>D5-F5</f>
        <v>1.6107225000000085</v>
      </c>
      <c r="J5">
        <f>H5-D5</f>
        <v>0.90621974999999111</v>
      </c>
      <c r="K5">
        <f>H5-F5</f>
        <v>2.5169422499999996</v>
      </c>
    </row>
    <row r="6" spans="1:11" x14ac:dyDescent="0.25">
      <c r="A6" t="s">
        <v>36</v>
      </c>
      <c r="B6" t="s">
        <v>5</v>
      </c>
      <c r="C6">
        <v>23.773601299999999</v>
      </c>
      <c r="D6" s="1">
        <f>(C6/100000)*1000000</f>
        <v>237.73601300000001</v>
      </c>
      <c r="E6">
        <v>23.706106875000003</v>
      </c>
      <c r="F6">
        <f>E6*10</f>
        <v>237.06106875000003</v>
      </c>
      <c r="G6">
        <v>23.884018775000001</v>
      </c>
      <c r="H6">
        <f>G6*10</f>
        <v>238.84018775000001</v>
      </c>
      <c r="I6">
        <f>D6-F6</f>
        <v>0.67494424999998159</v>
      </c>
      <c r="J6">
        <f>H6-D6</f>
        <v>1.1041747499999985</v>
      </c>
      <c r="K6">
        <f>H6-F6</f>
        <v>1.7791189999999801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ABD3E-D3F4-4624-B1BD-F0CB6E919CE4}">
  <dimension ref="A1:K6"/>
  <sheetViews>
    <sheetView zoomScaleNormal="100" workbookViewId="0">
      <selection activeCell="D2" sqref="D2:D6"/>
    </sheetView>
  </sheetViews>
  <sheetFormatPr defaultRowHeight="15" x14ac:dyDescent="0.25"/>
  <cols>
    <col min="1" max="1" width="36.28515625" bestFit="1" customWidth="1"/>
    <col min="2" max="2" width="27" bestFit="1" customWidth="1"/>
    <col min="3" max="3" width="12" customWidth="1"/>
    <col min="4" max="4" width="13.85546875" bestFit="1" customWidth="1"/>
    <col min="5" max="5" width="12" bestFit="1" customWidth="1"/>
    <col min="6" max="9" width="12" customWidth="1"/>
    <col min="10" max="10" width="14.85546875" bestFit="1" customWidth="1"/>
    <col min="11" max="12" width="12" bestFit="1" customWidth="1"/>
  </cols>
  <sheetData>
    <row r="1" spans="1:11" x14ac:dyDescent="0.25">
      <c r="A1" t="s">
        <v>18</v>
      </c>
      <c r="B1" t="s">
        <v>0</v>
      </c>
      <c r="C1" t="s">
        <v>26</v>
      </c>
      <c r="D1" t="s">
        <v>30</v>
      </c>
      <c r="E1" t="s">
        <v>27</v>
      </c>
      <c r="F1" t="s">
        <v>31</v>
      </c>
      <c r="G1" t="s">
        <v>28</v>
      </c>
      <c r="H1" t="s">
        <v>32</v>
      </c>
      <c r="I1" t="s">
        <v>33</v>
      </c>
      <c r="J1" t="s">
        <v>34</v>
      </c>
      <c r="K1" t="s">
        <v>29</v>
      </c>
    </row>
    <row r="2" spans="1:11" ht="14.25" customHeight="1" x14ac:dyDescent="0.25">
      <c r="A2" t="s">
        <v>17</v>
      </c>
      <c r="B2" t="s">
        <v>5</v>
      </c>
      <c r="C2" s="2">
        <v>2.0667388500000001</v>
      </c>
      <c r="D2" s="1">
        <f>(C2/100000)*1000000</f>
        <v>20.667388500000001</v>
      </c>
      <c r="E2">
        <v>2.05904335</v>
      </c>
      <c r="F2">
        <f>E2*10</f>
        <v>20.5904335</v>
      </c>
      <c r="G2">
        <v>2.0732931250000002</v>
      </c>
      <c r="H2">
        <f>G2*10</f>
        <v>20.73293125</v>
      </c>
      <c r="I2">
        <f>D2-F2</f>
        <v>7.6955000000001661E-2</v>
      </c>
      <c r="J2">
        <f>H2-D2</f>
        <v>6.5542749999998762E-2</v>
      </c>
      <c r="K2">
        <v>1.4249775000000131E-2</v>
      </c>
    </row>
    <row r="3" spans="1:11" x14ac:dyDescent="0.25">
      <c r="A3" t="s">
        <v>24</v>
      </c>
      <c r="B3" t="s">
        <v>5</v>
      </c>
      <c r="C3" s="2">
        <v>24.446493050000001</v>
      </c>
      <c r="D3" s="1">
        <f>(C3/100000)*1000000</f>
        <v>244.46493050000004</v>
      </c>
      <c r="E3">
        <v>24.235240650000001</v>
      </c>
      <c r="F3">
        <f>E3*10</f>
        <v>242.35240650000003</v>
      </c>
      <c r="G3">
        <v>24.541387950000001</v>
      </c>
      <c r="H3">
        <f>G3*10</f>
        <v>245.41387950000001</v>
      </c>
      <c r="I3">
        <f>D3-F3</f>
        <v>2.1125240000000076</v>
      </c>
      <c r="J3">
        <f>H3-D3</f>
        <v>0.94894899999997051</v>
      </c>
      <c r="K3">
        <v>0.30614729999999923</v>
      </c>
    </row>
    <row r="4" spans="1:11" x14ac:dyDescent="0.25">
      <c r="A4" t="s">
        <v>25</v>
      </c>
      <c r="B4" t="s">
        <v>5</v>
      </c>
      <c r="C4" s="2">
        <v>20.309132050000002</v>
      </c>
      <c r="D4" s="1">
        <f>(C4/100000)*1000000</f>
        <v>203.09132050000002</v>
      </c>
      <c r="E4">
        <v>20.219908750000002</v>
      </c>
      <c r="F4">
        <f>E4*10</f>
        <v>202.19908750000002</v>
      </c>
      <c r="G4">
        <v>20.388618075</v>
      </c>
      <c r="H4">
        <f>G4*10</f>
        <v>203.88618074999999</v>
      </c>
      <c r="I4">
        <f>D4-F4</f>
        <v>0.89223300000000449</v>
      </c>
      <c r="J4">
        <f>H4-D4</f>
        <v>0.79486024999997085</v>
      </c>
      <c r="K4">
        <v>0.16870932499999824</v>
      </c>
    </row>
    <row r="5" spans="1:11" x14ac:dyDescent="0.25">
      <c r="A5" t="s">
        <v>35</v>
      </c>
      <c r="B5" t="s">
        <v>5</v>
      </c>
      <c r="C5" s="2">
        <v>26.895168599999998</v>
      </c>
      <c r="D5" s="1">
        <f>(C5/100000)*1000000</f>
        <v>268.951686</v>
      </c>
      <c r="E5">
        <v>26.847587449999999</v>
      </c>
      <c r="F5">
        <f>E5*10</f>
        <v>268.47587449999997</v>
      </c>
      <c r="G5">
        <v>27.144172874999999</v>
      </c>
      <c r="H5">
        <f>G5*10</f>
        <v>271.44172874999998</v>
      </c>
      <c r="I5">
        <f>D5-F5</f>
        <v>0.47581150000002026</v>
      </c>
      <c r="J5">
        <f>H5-D5</f>
        <v>2.4900427499999864</v>
      </c>
      <c r="K5">
        <v>0.29658542499999996</v>
      </c>
    </row>
    <row r="6" spans="1:11" x14ac:dyDescent="0.25">
      <c r="A6" t="s">
        <v>36</v>
      </c>
      <c r="B6" t="s">
        <v>5</v>
      </c>
      <c r="C6" s="2">
        <v>23.434903649999999</v>
      </c>
      <c r="D6" s="1">
        <f>(C6/100000)*1000000</f>
        <v>234.34903649999998</v>
      </c>
      <c r="E6">
        <v>23.180086625000001</v>
      </c>
      <c r="F6">
        <f>E6*10</f>
        <v>231.80086625000001</v>
      </c>
      <c r="G6">
        <v>23.615215325000001</v>
      </c>
      <c r="H6">
        <f>G6*10</f>
        <v>236.15215325000003</v>
      </c>
      <c r="I6">
        <f>D6-F6</f>
        <v>2.5481702499999699</v>
      </c>
      <c r="J6">
        <f>H6-D6</f>
        <v>1.8031167500000436</v>
      </c>
      <c r="K6">
        <v>0.43512869999999992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6230-027F-410D-AB56-D9DC7662EA1D}">
  <dimension ref="A1:K23"/>
  <sheetViews>
    <sheetView zoomScale="55" zoomScaleNormal="55" workbookViewId="0">
      <selection activeCell="U19" sqref="U19"/>
    </sheetView>
  </sheetViews>
  <sheetFormatPr defaultRowHeight="15" x14ac:dyDescent="0.25"/>
  <cols>
    <col min="1" max="1" width="36.28515625" bestFit="1" customWidth="1"/>
    <col min="2" max="2" width="27" bestFit="1" customWidth="1"/>
    <col min="3" max="3" width="12" customWidth="1"/>
    <col min="4" max="4" width="13.85546875" bestFit="1" customWidth="1"/>
    <col min="5" max="5" width="12" bestFit="1" customWidth="1"/>
    <col min="6" max="9" width="12" customWidth="1"/>
    <col min="10" max="10" width="14.85546875" bestFit="1" customWidth="1"/>
    <col min="11" max="12" width="12" bestFit="1" customWidth="1"/>
  </cols>
  <sheetData>
    <row r="1" spans="1:11" x14ac:dyDescent="0.25">
      <c r="A1" t="s">
        <v>18</v>
      </c>
      <c r="B1" t="s">
        <v>0</v>
      </c>
      <c r="C1" t="s">
        <v>26</v>
      </c>
      <c r="D1" t="s">
        <v>30</v>
      </c>
      <c r="E1" t="s">
        <v>27</v>
      </c>
      <c r="F1" t="s">
        <v>31</v>
      </c>
      <c r="G1" t="s">
        <v>28</v>
      </c>
      <c r="H1" t="s">
        <v>32</v>
      </c>
      <c r="I1" t="s">
        <v>33</v>
      </c>
      <c r="J1" t="s">
        <v>34</v>
      </c>
      <c r="K1" t="s">
        <v>29</v>
      </c>
    </row>
    <row r="2" spans="1:11" ht="14.25" customHeight="1" x14ac:dyDescent="0.25">
      <c r="A2" t="s">
        <v>17</v>
      </c>
      <c r="B2" t="s">
        <v>5</v>
      </c>
      <c r="C2">
        <v>3.2929775999999999</v>
      </c>
      <c r="D2" s="1">
        <f>(C2/100000)*1000000</f>
        <v>32.929775999999997</v>
      </c>
      <c r="E2">
        <v>3.2755843499999999</v>
      </c>
      <c r="F2">
        <f>E2*10</f>
        <v>32.755843499999997</v>
      </c>
      <c r="G2">
        <v>3.3038859250000003</v>
      </c>
      <c r="H2">
        <f>G2*10</f>
        <v>33.038859250000002</v>
      </c>
      <c r="I2">
        <f>D2-F2</f>
        <v>0.17393249999999938</v>
      </c>
      <c r="J2">
        <f>H2-D2</f>
        <v>0.10908325000000474</v>
      </c>
      <c r="K2">
        <v>2.8301575000000412E-2</v>
      </c>
    </row>
    <row r="3" spans="1:11" x14ac:dyDescent="0.25">
      <c r="A3" t="s">
        <v>24</v>
      </c>
      <c r="B3" t="s">
        <v>5</v>
      </c>
      <c r="C3">
        <v>5.4436561000000001</v>
      </c>
      <c r="D3" s="1">
        <f>(C3/100000)*1000000</f>
        <v>54.436560999999998</v>
      </c>
      <c r="E3">
        <v>5.403410375</v>
      </c>
      <c r="F3">
        <f>E3*10</f>
        <v>54.03410375</v>
      </c>
      <c r="G3">
        <v>5.5232916999999997</v>
      </c>
      <c r="H3">
        <f>G3*10</f>
        <v>55.232917</v>
      </c>
      <c r="I3">
        <f>D3-F3</f>
        <v>0.40245724999999766</v>
      </c>
      <c r="J3">
        <f>H3-D3</f>
        <v>0.79635600000000295</v>
      </c>
      <c r="K3">
        <v>0.11988132499999971</v>
      </c>
    </row>
    <row r="4" spans="1:11" x14ac:dyDescent="0.25">
      <c r="A4" t="s">
        <v>25</v>
      </c>
      <c r="B4" t="s">
        <v>5</v>
      </c>
      <c r="C4">
        <v>2.97733005</v>
      </c>
      <c r="D4" s="1">
        <f>(C4/100000)*1000000</f>
        <v>29.773300500000001</v>
      </c>
      <c r="E4">
        <v>2.9610304999999997</v>
      </c>
      <c r="F4">
        <f>E4*10</f>
        <v>29.610304999999997</v>
      </c>
      <c r="G4">
        <v>2.98502315</v>
      </c>
      <c r="H4">
        <f>G4*10</f>
        <v>29.8502315</v>
      </c>
      <c r="I4">
        <f>D4-F4</f>
        <v>0.16299550000000451</v>
      </c>
      <c r="J4">
        <f>H4-D4</f>
        <v>7.6930999999998306E-2</v>
      </c>
      <c r="K4">
        <v>2.3992650000000282E-2</v>
      </c>
    </row>
    <row r="5" spans="1:11" x14ac:dyDescent="0.25">
      <c r="A5" t="s">
        <v>35</v>
      </c>
      <c r="B5" t="s">
        <v>5</v>
      </c>
      <c r="C5">
        <v>9.0042417500000003</v>
      </c>
      <c r="D5" s="1">
        <f>(C5/100000)*1000000</f>
        <v>90.042417499999999</v>
      </c>
      <c r="E5">
        <v>8.9451028500000014</v>
      </c>
      <c r="F5">
        <f>E5*10</f>
        <v>89.451028500000007</v>
      </c>
      <c r="G5">
        <v>9.0364056999999995</v>
      </c>
      <c r="H5">
        <f>G5*10</f>
        <v>90.364057000000003</v>
      </c>
      <c r="I5">
        <f>D5-F5</f>
        <v>0.59138899999999239</v>
      </c>
      <c r="J5">
        <f>H5-D5</f>
        <v>0.32163950000000341</v>
      </c>
      <c r="K5">
        <v>9.1302849999998159E-2</v>
      </c>
    </row>
    <row r="6" spans="1:11" x14ac:dyDescent="0.25">
      <c r="A6" t="s">
        <v>36</v>
      </c>
      <c r="B6" t="s">
        <v>5</v>
      </c>
      <c r="C6">
        <v>6.6298600000000008</v>
      </c>
      <c r="D6" s="1">
        <f>(C6/100000)*1000000</f>
        <v>66.298600000000008</v>
      </c>
      <c r="E6">
        <v>6.6054415249999998</v>
      </c>
      <c r="F6">
        <f>E6*10</f>
        <v>66.054415250000005</v>
      </c>
      <c r="G6">
        <v>6.6493327500000001</v>
      </c>
      <c r="H6">
        <f>G6*10</f>
        <v>66.493327500000007</v>
      </c>
      <c r="I6">
        <f>D6-F6</f>
        <v>0.24418475000000228</v>
      </c>
      <c r="J6">
        <f>H6-D6</f>
        <v>0.19472749999999905</v>
      </c>
      <c r="K6">
        <v>4.3891225000000311E-2</v>
      </c>
    </row>
    <row r="18" spans="1:10" x14ac:dyDescent="0.25">
      <c r="A18" t="s">
        <v>18</v>
      </c>
      <c r="B18" t="s">
        <v>0</v>
      </c>
      <c r="C18" t="s">
        <v>2</v>
      </c>
      <c r="D18" t="s">
        <v>1</v>
      </c>
      <c r="E18" t="s">
        <v>3</v>
      </c>
      <c r="F18" t="s">
        <v>4</v>
      </c>
      <c r="G18" t="s">
        <v>42</v>
      </c>
      <c r="H18" t="s">
        <v>43</v>
      </c>
      <c r="I18" t="s">
        <v>44</v>
      </c>
      <c r="J18" t="s">
        <v>45</v>
      </c>
    </row>
    <row r="19" spans="1:10" x14ac:dyDescent="0.25">
      <c r="A19" t="s">
        <v>22</v>
      </c>
      <c r="B19" t="s">
        <v>6</v>
      </c>
      <c r="C19">
        <v>3.2929775999999999</v>
      </c>
      <c r="D19">
        <v>3.2755843499999999</v>
      </c>
      <c r="E19">
        <v>3.3038859250000003</v>
      </c>
      <c r="F19">
        <v>2.8301575000000412E-2</v>
      </c>
      <c r="G19">
        <v>3.2908211500000002</v>
      </c>
      <c r="H19">
        <v>1.9015952560080145E-2</v>
      </c>
      <c r="I19">
        <v>3.2586579000000002</v>
      </c>
      <c r="J19">
        <v>3.3195953999999999</v>
      </c>
    </row>
    <row r="20" spans="1:10" x14ac:dyDescent="0.25">
      <c r="A20" t="s">
        <v>19</v>
      </c>
      <c r="B20" t="s">
        <v>6</v>
      </c>
      <c r="C20">
        <v>5.4436561000000001</v>
      </c>
      <c r="D20">
        <v>5.403410375</v>
      </c>
      <c r="E20">
        <v>5.5232916999999997</v>
      </c>
      <c r="F20">
        <v>0.11988132499999971</v>
      </c>
      <c r="G20">
        <v>5.4572102899999999</v>
      </c>
      <c r="H20">
        <v>6.8045597131701899E-2</v>
      </c>
      <c r="I20">
        <v>5.3678457999999996</v>
      </c>
      <c r="J20">
        <v>5.5519477999999998</v>
      </c>
    </row>
    <row r="21" spans="1:10" x14ac:dyDescent="0.25">
      <c r="A21" t="s">
        <v>23</v>
      </c>
      <c r="B21" t="s">
        <v>6</v>
      </c>
      <c r="C21">
        <v>2.97733005</v>
      </c>
      <c r="D21">
        <v>2.9610304999999997</v>
      </c>
      <c r="E21">
        <v>2.98502315</v>
      </c>
      <c r="F21">
        <v>2.3992650000000282E-2</v>
      </c>
      <c r="G21">
        <v>2.9733034900000002</v>
      </c>
      <c r="H21">
        <v>1.4301274183360912E-2</v>
      </c>
      <c r="I21">
        <v>2.9483806000000001</v>
      </c>
      <c r="J21">
        <v>2.9897301999999999</v>
      </c>
    </row>
    <row r="22" spans="1:10" x14ac:dyDescent="0.25">
      <c r="A22" t="s">
        <v>20</v>
      </c>
      <c r="B22" t="s">
        <v>6</v>
      </c>
      <c r="C22">
        <v>9.0042417500000003</v>
      </c>
      <c r="D22">
        <v>8.9451028500000014</v>
      </c>
      <c r="E22">
        <v>9.0364056999999995</v>
      </c>
      <c r="F22">
        <v>9.1302849999998159E-2</v>
      </c>
      <c r="G22">
        <v>8.9965250300000008</v>
      </c>
      <c r="H22">
        <v>6.3341940813370481E-2</v>
      </c>
      <c r="I22">
        <v>8.9002099999999995</v>
      </c>
      <c r="J22">
        <v>9.0906672999999998</v>
      </c>
    </row>
    <row r="23" spans="1:10" x14ac:dyDescent="0.25">
      <c r="A23" t="s">
        <v>21</v>
      </c>
      <c r="B23" t="s">
        <v>6</v>
      </c>
      <c r="C23">
        <v>6.6298600000000008</v>
      </c>
      <c r="D23">
        <v>6.6054415249999998</v>
      </c>
      <c r="E23">
        <v>6.6493327500000001</v>
      </c>
      <c r="F23">
        <v>4.3891225000000311E-2</v>
      </c>
      <c r="G23">
        <v>6.6268181299999993</v>
      </c>
      <c r="H23">
        <v>4.8458664734414056E-2</v>
      </c>
      <c r="I23">
        <v>6.5199619999999996</v>
      </c>
      <c r="J23">
        <v>6.6883125000000003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DB6D7-610C-43F9-A687-7B45F2346B89}">
  <dimension ref="A1:K38"/>
  <sheetViews>
    <sheetView topLeftCell="E1" zoomScaleNormal="100" workbookViewId="0">
      <selection activeCell="AI31" sqref="AI31"/>
    </sheetView>
  </sheetViews>
  <sheetFormatPr defaultRowHeight="15" x14ac:dyDescent="0.25"/>
  <cols>
    <col min="1" max="1" width="36.28515625" bestFit="1" customWidth="1"/>
    <col min="2" max="2" width="27" bestFit="1" customWidth="1"/>
    <col min="3" max="3" width="12" customWidth="1"/>
    <col min="4" max="4" width="13.85546875" bestFit="1" customWidth="1"/>
    <col min="5" max="5" width="12" bestFit="1" customWidth="1"/>
    <col min="6" max="9" width="12" customWidth="1"/>
    <col min="10" max="10" width="14.85546875" bestFit="1" customWidth="1"/>
    <col min="11" max="12" width="12" bestFit="1" customWidth="1"/>
  </cols>
  <sheetData>
    <row r="1" spans="1:11" x14ac:dyDescent="0.25">
      <c r="A1" t="s">
        <v>18</v>
      </c>
      <c r="B1" t="s">
        <v>0</v>
      </c>
      <c r="C1" t="s">
        <v>26</v>
      </c>
      <c r="D1" t="s">
        <v>30</v>
      </c>
      <c r="E1" t="s">
        <v>27</v>
      </c>
      <c r="F1" t="s">
        <v>31</v>
      </c>
      <c r="G1" t="s">
        <v>28</v>
      </c>
      <c r="H1" t="s">
        <v>32</v>
      </c>
      <c r="I1" t="s">
        <v>33</v>
      </c>
      <c r="J1" t="s">
        <v>34</v>
      </c>
      <c r="K1" t="s">
        <v>29</v>
      </c>
    </row>
    <row r="2" spans="1:11" ht="14.25" customHeight="1" x14ac:dyDescent="0.25">
      <c r="A2" t="s">
        <v>17</v>
      </c>
      <c r="B2" t="s">
        <v>5</v>
      </c>
      <c r="C2">
        <v>18662.679358244179</v>
      </c>
      <c r="D2" s="1">
        <f>C2</f>
        <v>18662.679358244179</v>
      </c>
      <c r="E2">
        <v>18597.103679619799</v>
      </c>
      <c r="F2">
        <f>E2</f>
        <v>18597.103679619799</v>
      </c>
      <c r="G2">
        <v>18761.47466843974</v>
      </c>
      <c r="H2">
        <f>G2</f>
        <v>18761.47466843974</v>
      </c>
      <c r="I2">
        <f>D2-F2</f>
        <v>65.575678624380089</v>
      </c>
      <c r="J2">
        <f>H2-D2</f>
        <v>98.795310195560887</v>
      </c>
      <c r="K2">
        <v>164.37098881994098</v>
      </c>
    </row>
    <row r="3" spans="1:11" x14ac:dyDescent="0.25">
      <c r="A3" t="s">
        <v>24</v>
      </c>
      <c r="B3" t="s">
        <v>5</v>
      </c>
      <c r="C3">
        <v>3390.39198474562</v>
      </c>
      <c r="D3" s="1">
        <f>C3</f>
        <v>3390.39198474562</v>
      </c>
      <c r="E3">
        <v>3340.7066100123352</v>
      </c>
      <c r="F3">
        <f>E3</f>
        <v>3340.7066100123352</v>
      </c>
      <c r="G3">
        <v>3412.1377218768612</v>
      </c>
      <c r="H3">
        <f>G3</f>
        <v>3412.1377218768612</v>
      </c>
      <c r="I3">
        <f>D3-F3</f>
        <v>49.685374733284789</v>
      </c>
      <c r="J3">
        <f>H3-D3</f>
        <v>21.745737131241185</v>
      </c>
      <c r="K3">
        <v>71.431111864525974</v>
      </c>
    </row>
    <row r="4" spans="1:11" x14ac:dyDescent="0.25">
      <c r="A4" t="s">
        <v>25</v>
      </c>
      <c r="B4" t="s">
        <v>5</v>
      </c>
      <c r="C4">
        <v>4308.6445826907393</v>
      </c>
      <c r="D4" s="1">
        <f>C4</f>
        <v>4308.6445826907393</v>
      </c>
      <c r="E4">
        <v>4288.2851082225861</v>
      </c>
      <c r="F4">
        <f>E4</f>
        <v>4288.2851082225861</v>
      </c>
      <c r="G4">
        <v>4323.0603545702634</v>
      </c>
      <c r="H4">
        <f>G4</f>
        <v>4323.0603545702634</v>
      </c>
      <c r="I4">
        <f>D4-F4</f>
        <v>20.359474468153167</v>
      </c>
      <c r="J4">
        <f>H4-D4</f>
        <v>14.415771879524073</v>
      </c>
      <c r="K4">
        <v>34.775246347677239</v>
      </c>
    </row>
    <row r="5" spans="1:11" x14ac:dyDescent="0.25">
      <c r="A5" t="s">
        <v>35</v>
      </c>
      <c r="B5" t="s">
        <v>5</v>
      </c>
      <c r="C5">
        <v>2787.6118349858207</v>
      </c>
      <c r="D5" s="1">
        <f>C5</f>
        <v>2787.6118349858207</v>
      </c>
      <c r="E5">
        <v>2776.3527217288142</v>
      </c>
      <c r="F5">
        <f>E5</f>
        <v>2776.3527217288142</v>
      </c>
      <c r="G5">
        <v>2805.0440345255529</v>
      </c>
      <c r="H5">
        <f>G5</f>
        <v>2805.0440345255529</v>
      </c>
      <c r="I5">
        <f>D5-F5</f>
        <v>11.259113257006447</v>
      </c>
      <c r="J5">
        <f>H5-D5</f>
        <v>17.43219953973221</v>
      </c>
      <c r="K5">
        <v>28.691312796738657</v>
      </c>
    </row>
    <row r="6" spans="1:11" x14ac:dyDescent="0.25">
      <c r="A6" t="s">
        <v>36</v>
      </c>
      <c r="B6" t="s">
        <v>5</v>
      </c>
      <c r="C6">
        <v>3289.7809105136198</v>
      </c>
      <c r="D6" s="1">
        <f>C6</f>
        <v>3289.7809105136198</v>
      </c>
      <c r="E6">
        <v>3274.9791230597029</v>
      </c>
      <c r="F6">
        <f>E6</f>
        <v>3274.9791230597029</v>
      </c>
      <c r="G6">
        <v>3297.0986136163951</v>
      </c>
      <c r="H6">
        <f>G6</f>
        <v>3297.0986136163951</v>
      </c>
      <c r="I6">
        <f>D6-F6</f>
        <v>14.801787453916859</v>
      </c>
      <c r="J6">
        <f>H6-D6</f>
        <v>7.3177031027753401</v>
      </c>
      <c r="K6">
        <v>22.119490556692199</v>
      </c>
    </row>
    <row r="18" spans="1:10" x14ac:dyDescent="0.25">
      <c r="A18" t="s">
        <v>15</v>
      </c>
      <c r="B18" t="s">
        <v>16</v>
      </c>
      <c r="C18" t="s">
        <v>46</v>
      </c>
      <c r="D18" t="s">
        <v>47</v>
      </c>
      <c r="E18" t="s">
        <v>48</v>
      </c>
      <c r="F18" t="s">
        <v>49</v>
      </c>
      <c r="G18" t="s">
        <v>50</v>
      </c>
      <c r="H18" t="s">
        <v>51</v>
      </c>
      <c r="I18" t="s">
        <v>52</v>
      </c>
      <c r="J18" t="s">
        <v>53</v>
      </c>
    </row>
    <row r="34" spans="1:10" x14ac:dyDescent="0.25">
      <c r="A34" t="s">
        <v>22</v>
      </c>
      <c r="B34" t="s">
        <v>9</v>
      </c>
      <c r="C34">
        <v>18662.679358244179</v>
      </c>
      <c r="D34">
        <v>18597.103679619799</v>
      </c>
      <c r="E34">
        <v>18761.47466843974</v>
      </c>
      <c r="F34">
        <v>164.37098881994098</v>
      </c>
      <c r="G34">
        <v>18675.106996634218</v>
      </c>
      <c r="H34">
        <v>107.47232737555964</v>
      </c>
      <c r="I34">
        <v>18522.823359873451</v>
      </c>
      <c r="J34">
        <v>18853.575534408843</v>
      </c>
    </row>
    <row r="35" spans="1:10" x14ac:dyDescent="0.25">
      <c r="A35" t="s">
        <v>19</v>
      </c>
      <c r="B35" t="s">
        <v>9</v>
      </c>
      <c r="C35">
        <v>3390.39198474562</v>
      </c>
      <c r="D35">
        <v>3340.7066100123352</v>
      </c>
      <c r="E35">
        <v>3412.1377218768612</v>
      </c>
      <c r="F35">
        <v>71.431111864525974</v>
      </c>
      <c r="G35">
        <v>3380.3099688891334</v>
      </c>
      <c r="H35">
        <v>45.839661484788323</v>
      </c>
      <c r="I35">
        <v>3312.9645975244794</v>
      </c>
      <c r="J35">
        <v>3440.2522329636568</v>
      </c>
    </row>
    <row r="36" spans="1:10" x14ac:dyDescent="0.25">
      <c r="A36" t="s">
        <v>23</v>
      </c>
      <c r="B36" t="s">
        <v>9</v>
      </c>
      <c r="C36">
        <v>4308.6445826907393</v>
      </c>
      <c r="D36">
        <v>4288.2851082225861</v>
      </c>
      <c r="E36">
        <v>4323.0603545702634</v>
      </c>
      <c r="F36">
        <v>34.775246347677239</v>
      </c>
      <c r="G36">
        <v>4308.3322111525777</v>
      </c>
      <c r="H36">
        <v>29.47360438428538</v>
      </c>
      <c r="I36">
        <v>4262.0189157179238</v>
      </c>
      <c r="J36">
        <v>4355.0783527808053</v>
      </c>
    </row>
    <row r="37" spans="1:10" x14ac:dyDescent="0.25">
      <c r="A37" t="s">
        <v>20</v>
      </c>
      <c r="B37" t="s">
        <v>9</v>
      </c>
      <c r="C37">
        <v>2787.6118349858207</v>
      </c>
      <c r="D37">
        <v>2776.3527217288142</v>
      </c>
      <c r="E37">
        <v>2805.0440345255529</v>
      </c>
      <c r="F37">
        <v>28.691312796738657</v>
      </c>
      <c r="G37">
        <v>2790.8204730575508</v>
      </c>
      <c r="H37">
        <v>17.290740909260865</v>
      </c>
      <c r="I37">
        <v>2770.2281289235693</v>
      </c>
      <c r="J37">
        <v>2815.5954163277911</v>
      </c>
    </row>
    <row r="38" spans="1:10" x14ac:dyDescent="0.25">
      <c r="A38" t="s">
        <v>21</v>
      </c>
      <c r="B38" t="s">
        <v>9</v>
      </c>
      <c r="C38">
        <v>3289.7809105136198</v>
      </c>
      <c r="D38">
        <v>3274.9791230597029</v>
      </c>
      <c r="E38">
        <v>3297.0986136163951</v>
      </c>
      <c r="F38">
        <v>22.119490556692199</v>
      </c>
      <c r="G38">
        <v>3292.5527804523276</v>
      </c>
      <c r="H38">
        <v>25.802994703925197</v>
      </c>
      <c r="I38">
        <v>3264.1571924096133</v>
      </c>
      <c r="J38">
        <v>3353.0373567692673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0F82-F758-4E59-AC59-42A7E58E95D7}">
  <dimension ref="A1:K55"/>
  <sheetViews>
    <sheetView zoomScale="55" zoomScaleNormal="55" workbookViewId="0">
      <selection activeCell="A32" sqref="A31:A32"/>
    </sheetView>
  </sheetViews>
  <sheetFormatPr defaultRowHeight="15" x14ac:dyDescent="0.25"/>
  <cols>
    <col min="1" max="1" width="36.28515625" bestFit="1" customWidth="1"/>
    <col min="2" max="2" width="27" bestFit="1" customWidth="1"/>
    <col min="3" max="3" width="12" customWidth="1"/>
    <col min="4" max="4" width="13.85546875" bestFit="1" customWidth="1"/>
    <col min="5" max="5" width="12" bestFit="1" customWidth="1"/>
    <col min="6" max="9" width="12" customWidth="1"/>
    <col min="10" max="10" width="14.85546875" bestFit="1" customWidth="1"/>
    <col min="11" max="12" width="12" bestFit="1" customWidth="1"/>
  </cols>
  <sheetData>
    <row r="1" spans="1:11" x14ac:dyDescent="0.25">
      <c r="A1" t="s">
        <v>18</v>
      </c>
      <c r="B1" t="s">
        <v>0</v>
      </c>
      <c r="C1" t="s">
        <v>26</v>
      </c>
      <c r="D1" t="s">
        <v>30</v>
      </c>
      <c r="E1" t="s">
        <v>27</v>
      </c>
      <c r="F1" t="s">
        <v>31</v>
      </c>
      <c r="G1" t="s">
        <v>28</v>
      </c>
      <c r="H1" t="s">
        <v>32</v>
      </c>
      <c r="I1" t="s">
        <v>33</v>
      </c>
      <c r="J1" t="s">
        <v>34</v>
      </c>
      <c r="K1" t="s">
        <v>29</v>
      </c>
    </row>
    <row r="2" spans="1:11" ht="14.25" customHeight="1" x14ac:dyDescent="0.25">
      <c r="A2" t="s">
        <v>17</v>
      </c>
      <c r="B2" t="s">
        <v>5</v>
      </c>
      <c r="C2" s="1">
        <v>15799.117915910261</v>
      </c>
      <c r="D2" s="1">
        <f>C2</f>
        <v>15799.117915910261</v>
      </c>
      <c r="E2">
        <v>15781.752151855864</v>
      </c>
      <c r="F2">
        <f>E2</f>
        <v>15781.752151855864</v>
      </c>
      <c r="G2">
        <v>15913.261302643197</v>
      </c>
      <c r="H2">
        <f>G2</f>
        <v>15913.261302643197</v>
      </c>
      <c r="I2">
        <f>D2-F2</f>
        <v>17.365764054397005</v>
      </c>
      <c r="J2">
        <f>H2-D2</f>
        <v>114.14338673293605</v>
      </c>
      <c r="K2">
        <v>131.50915078733306</v>
      </c>
    </row>
    <row r="3" spans="1:11" x14ac:dyDescent="0.25">
      <c r="A3" t="s">
        <v>24</v>
      </c>
      <c r="B3" t="s">
        <v>5</v>
      </c>
      <c r="C3" s="1">
        <v>3249.4164199849729</v>
      </c>
      <c r="D3" s="1">
        <f>C3</f>
        <v>3249.4164199849729</v>
      </c>
      <c r="E3">
        <v>3203.8718641841983</v>
      </c>
      <c r="F3">
        <f>E3</f>
        <v>3203.8718641841983</v>
      </c>
      <c r="G3">
        <v>3267.8565668142046</v>
      </c>
      <c r="H3">
        <f>G3</f>
        <v>3267.8565668142046</v>
      </c>
      <c r="I3">
        <f>D3-F3</f>
        <v>45.54455580077456</v>
      </c>
      <c r="J3">
        <f>H3-D3</f>
        <v>18.440146829231708</v>
      </c>
      <c r="K3">
        <v>63.984702630006268</v>
      </c>
    </row>
    <row r="4" spans="1:11" x14ac:dyDescent="0.25">
      <c r="A4" t="s">
        <v>25</v>
      </c>
      <c r="B4" t="s">
        <v>5</v>
      </c>
      <c r="C4" s="1">
        <v>4083.9595543214064</v>
      </c>
      <c r="D4" s="1">
        <f>C4</f>
        <v>4083.9595543214064</v>
      </c>
      <c r="E4">
        <v>4065.2256899652716</v>
      </c>
      <c r="F4">
        <f>E4</f>
        <v>4065.2256899652716</v>
      </c>
      <c r="G4">
        <v>4101.4943911378059</v>
      </c>
      <c r="H4">
        <f>G4</f>
        <v>4101.4943911378059</v>
      </c>
      <c r="I4">
        <f>D4-F4</f>
        <v>18.733864356134745</v>
      </c>
      <c r="J4">
        <f>H4-D4</f>
        <v>17.534836816399547</v>
      </c>
      <c r="K4">
        <v>36.268701172534293</v>
      </c>
    </row>
    <row r="5" spans="1:11" x14ac:dyDescent="0.25">
      <c r="A5" t="s">
        <v>35</v>
      </c>
      <c r="B5" t="s">
        <v>5</v>
      </c>
      <c r="C5" s="1">
        <v>2676.6110792976638</v>
      </c>
      <c r="D5" s="1">
        <f>C5</f>
        <v>2676.6110792976638</v>
      </c>
      <c r="E5">
        <v>2666.2829878076427</v>
      </c>
      <c r="F5">
        <f>E5</f>
        <v>2666.2829878076427</v>
      </c>
      <c r="G5">
        <v>2693.8163478632964</v>
      </c>
      <c r="H5">
        <f>G5</f>
        <v>2693.8163478632964</v>
      </c>
      <c r="I5">
        <f>D5-F5</f>
        <v>10.328091490021052</v>
      </c>
      <c r="J5">
        <f>H5-D5</f>
        <v>17.20526856563265</v>
      </c>
      <c r="K5">
        <v>27.533360055653702</v>
      </c>
    </row>
    <row r="6" spans="1:11" x14ac:dyDescent="0.25">
      <c r="A6" t="s">
        <v>36</v>
      </c>
      <c r="B6" t="s">
        <v>5</v>
      </c>
      <c r="C6" s="1">
        <v>3121.2119144575563</v>
      </c>
      <c r="D6" s="1">
        <f>C6</f>
        <v>3121.2119144575563</v>
      </c>
      <c r="E6">
        <v>3109.4630792587077</v>
      </c>
      <c r="F6">
        <f>E6</f>
        <v>3109.4630792587077</v>
      </c>
      <c r="G6">
        <v>3128.8965879615889</v>
      </c>
      <c r="H6">
        <f>G6</f>
        <v>3128.8965879615889</v>
      </c>
      <c r="I6">
        <f>D6-F6</f>
        <v>11.74883519884861</v>
      </c>
      <c r="J6">
        <f>H6-D6</f>
        <v>7.6846735040326166</v>
      </c>
      <c r="K6">
        <v>19.433508702881227</v>
      </c>
    </row>
    <row r="7" spans="1:11" x14ac:dyDescent="0.25">
      <c r="A7" s="3"/>
      <c r="B7" s="3"/>
      <c r="C7" s="1">
        <v>15927.172713513482</v>
      </c>
      <c r="D7" s="1">
        <f>C7</f>
        <v>15927.172713513482</v>
      </c>
      <c r="E7">
        <v>15850.644571696828</v>
      </c>
      <c r="F7" s="3">
        <f>E7</f>
        <v>15850.644571696828</v>
      </c>
      <c r="G7">
        <v>15986.473875183097</v>
      </c>
      <c r="H7" s="3">
        <f>G7</f>
        <v>15986.473875183097</v>
      </c>
      <c r="I7" s="1">
        <f>D7-F7</f>
        <v>76.52814181665417</v>
      </c>
      <c r="J7" s="1">
        <f>H7-D7</f>
        <v>59.301161669614885</v>
      </c>
      <c r="K7">
        <v>135.82930348626905</v>
      </c>
    </row>
    <row r="8" spans="1:11" x14ac:dyDescent="0.25">
      <c r="A8" s="3"/>
      <c r="B8" s="3"/>
      <c r="C8" s="1">
        <v>3212.8832685548959</v>
      </c>
      <c r="D8" s="1">
        <f>C8</f>
        <v>3212.8832685548959</v>
      </c>
      <c r="E8">
        <v>3198.0527634093469</v>
      </c>
      <c r="F8" s="3">
        <f>E8</f>
        <v>3198.0527634093469</v>
      </c>
      <c r="G8">
        <v>3239.3193719194269</v>
      </c>
      <c r="H8" s="3">
        <f>G8</f>
        <v>3239.3193719194269</v>
      </c>
      <c r="I8" s="1">
        <f>D8-F8</f>
        <v>14.830505145549068</v>
      </c>
      <c r="J8" s="1">
        <f>H8-D8</f>
        <v>26.436103364530936</v>
      </c>
      <c r="K8">
        <v>41.266608510080005</v>
      </c>
    </row>
    <row r="9" spans="1:11" x14ac:dyDescent="0.25">
      <c r="A9" s="3"/>
      <c r="B9" s="3"/>
      <c r="C9" s="1">
        <v>4107.4561248259233</v>
      </c>
      <c r="D9" s="1">
        <f>C9</f>
        <v>4107.4561248259233</v>
      </c>
      <c r="E9">
        <v>4093.1564842943667</v>
      </c>
      <c r="F9" s="3">
        <f>E9</f>
        <v>4093.1564842943667</v>
      </c>
      <c r="G9">
        <v>4129.1939462777918</v>
      </c>
      <c r="H9" s="3">
        <f>G9</f>
        <v>4129.1939462777918</v>
      </c>
      <c r="I9" s="1">
        <f>D9-F9</f>
        <v>14.299640531556634</v>
      </c>
      <c r="J9" s="1">
        <f>H9-D9</f>
        <v>21.737821451868513</v>
      </c>
      <c r="K9">
        <v>36.037461983425146</v>
      </c>
    </row>
    <row r="10" spans="1:11" x14ac:dyDescent="0.25">
      <c r="A10" s="3"/>
      <c r="B10" s="3"/>
      <c r="C10" s="1">
        <v>2690.6579672986263</v>
      </c>
      <c r="D10" s="1">
        <f>C10</f>
        <v>2690.6579672986263</v>
      </c>
      <c r="E10">
        <v>2669.0774217263961</v>
      </c>
      <c r="F10" s="3">
        <f>E10</f>
        <v>2669.0774217263961</v>
      </c>
      <c r="G10">
        <v>2699.4104987904111</v>
      </c>
      <c r="H10" s="3">
        <f>G10</f>
        <v>2699.4104987904111</v>
      </c>
      <c r="I10" s="1">
        <f>D10-F10</f>
        <v>21.580545572230221</v>
      </c>
      <c r="J10" s="1">
        <f>H10-D10</f>
        <v>8.7525314917847936</v>
      </c>
      <c r="K10">
        <v>30.333077064015015</v>
      </c>
    </row>
    <row r="11" spans="1:11" x14ac:dyDescent="0.25">
      <c r="A11" s="3"/>
      <c r="B11" s="3"/>
      <c r="C11" s="1">
        <v>3206.4299573444005</v>
      </c>
      <c r="D11" s="1">
        <f>C11</f>
        <v>3206.4299573444005</v>
      </c>
      <c r="E11">
        <v>3184.1377534158692</v>
      </c>
      <c r="F11" s="3">
        <f>E11</f>
        <v>3184.1377534158692</v>
      </c>
      <c r="G11">
        <v>3235.1937766864758</v>
      </c>
      <c r="H11" s="3">
        <f>G11</f>
        <v>3235.1937766864758</v>
      </c>
      <c r="I11" s="1">
        <f>D11-F11</f>
        <v>22.292203928531308</v>
      </c>
      <c r="J11" s="1">
        <f>H11-D11</f>
        <v>28.763819342075294</v>
      </c>
      <c r="K11">
        <v>51.056023270606602</v>
      </c>
    </row>
    <row r="23" spans="1:10" x14ac:dyDescent="0.25">
      <c r="A23" t="s">
        <v>15</v>
      </c>
      <c r="B23" t="s">
        <v>16</v>
      </c>
      <c r="C23" t="s">
        <v>46</v>
      </c>
      <c r="D23" t="s">
        <v>47</v>
      </c>
      <c r="E23" t="s">
        <v>48</v>
      </c>
      <c r="F23" t="s">
        <v>49</v>
      </c>
      <c r="G23" t="s">
        <v>50</v>
      </c>
      <c r="H23" t="s">
        <v>51</v>
      </c>
      <c r="I23" t="s">
        <v>52</v>
      </c>
      <c r="J23" t="s">
        <v>53</v>
      </c>
    </row>
    <row r="31" spans="1:10" x14ac:dyDescent="0.25">
      <c r="A31" t="s">
        <v>54</v>
      </c>
    </row>
    <row r="32" spans="1:10" x14ac:dyDescent="0.25">
      <c r="A32" t="s">
        <v>55</v>
      </c>
    </row>
    <row r="42" spans="1:10" x14ac:dyDescent="0.25">
      <c r="A42" t="s">
        <v>17</v>
      </c>
      <c r="B42" t="s">
        <v>10</v>
      </c>
      <c r="C42">
        <v>15799.117915910261</v>
      </c>
      <c r="D42">
        <v>15781.752151855864</v>
      </c>
      <c r="E42">
        <v>15913.261302643197</v>
      </c>
      <c r="F42">
        <v>131.50915078733306</v>
      </c>
      <c r="G42">
        <v>15822.624273070131</v>
      </c>
      <c r="H42">
        <v>105.15479680114385</v>
      </c>
      <c r="I42">
        <v>15657.963438217446</v>
      </c>
      <c r="J42">
        <v>15977.673438243595</v>
      </c>
    </row>
    <row r="43" spans="1:10" x14ac:dyDescent="0.25">
      <c r="A43" t="s">
        <v>24</v>
      </c>
      <c r="B43" t="s">
        <v>10</v>
      </c>
      <c r="C43">
        <v>3249.4164199849729</v>
      </c>
      <c r="D43">
        <v>3203.8718641841983</v>
      </c>
      <c r="E43">
        <v>3267.8565668142046</v>
      </c>
      <c r="F43">
        <v>63.984702630006268</v>
      </c>
      <c r="G43">
        <v>3239.9376144078406</v>
      </c>
      <c r="H43">
        <v>43.078252747489714</v>
      </c>
      <c r="I43">
        <v>3174.6368761451163</v>
      </c>
      <c r="J43">
        <v>3295.8864275506235</v>
      </c>
    </row>
    <row r="44" spans="1:10" x14ac:dyDescent="0.25">
      <c r="A44" t="s">
        <v>25</v>
      </c>
      <c r="B44" t="s">
        <v>10</v>
      </c>
      <c r="C44">
        <v>4083.9595543214064</v>
      </c>
      <c r="D44">
        <v>4065.2256899652716</v>
      </c>
      <c r="E44">
        <v>4101.4943911378059</v>
      </c>
      <c r="F44">
        <v>36.268701172534293</v>
      </c>
      <c r="G44">
        <v>4084.7088011437154</v>
      </c>
      <c r="H44">
        <v>27.786335548283482</v>
      </c>
      <c r="I44">
        <v>4043.1120106460344</v>
      </c>
      <c r="J44">
        <v>4129.8123758921829</v>
      </c>
    </row>
    <row r="45" spans="1:10" x14ac:dyDescent="0.25">
      <c r="A45" t="s">
        <v>35</v>
      </c>
      <c r="B45" t="s">
        <v>10</v>
      </c>
      <c r="C45">
        <v>2676.6110792976638</v>
      </c>
      <c r="D45">
        <v>2666.2829878076427</v>
      </c>
      <c r="E45">
        <v>2693.8163478632964</v>
      </c>
      <c r="F45">
        <v>27.533360055653702</v>
      </c>
      <c r="G45">
        <v>2679.5670480310005</v>
      </c>
      <c r="H45">
        <v>17.556372040659074</v>
      </c>
      <c r="I45">
        <v>2658.6272755516507</v>
      </c>
      <c r="J45">
        <v>2704.7365768873501</v>
      </c>
    </row>
    <row r="46" spans="1:10" x14ac:dyDescent="0.25">
      <c r="A46" t="s">
        <v>36</v>
      </c>
      <c r="B46" t="s">
        <v>10</v>
      </c>
      <c r="C46">
        <v>3121.2119144575563</v>
      </c>
      <c r="D46">
        <v>3109.4630792587077</v>
      </c>
      <c r="E46">
        <v>3128.8965879615889</v>
      </c>
      <c r="F46">
        <v>19.433508702881227</v>
      </c>
      <c r="G46">
        <v>3124.5775581767784</v>
      </c>
      <c r="H46">
        <v>24.868474071963579</v>
      </c>
      <c r="I46">
        <v>3096.5976483254376</v>
      </c>
      <c r="J46">
        <v>3183.3969904496012</v>
      </c>
    </row>
    <row r="51" spans="1:10" x14ac:dyDescent="0.25">
      <c r="A51" t="s">
        <v>38</v>
      </c>
      <c r="B51" t="s">
        <v>10</v>
      </c>
      <c r="C51">
        <v>15927.172713513482</v>
      </c>
      <c r="D51">
        <v>15850.644571696828</v>
      </c>
      <c r="E51">
        <v>15986.473875183097</v>
      </c>
      <c r="F51">
        <v>135.82930348626905</v>
      </c>
      <c r="G51">
        <v>15940.471477224975</v>
      </c>
      <c r="H51">
        <v>142.39448293421316</v>
      </c>
      <c r="I51">
        <v>15750.607898649114</v>
      </c>
      <c r="J51">
        <v>16253.822553670347</v>
      </c>
    </row>
    <row r="52" spans="1:10" x14ac:dyDescent="0.25">
      <c r="A52" t="s">
        <v>37</v>
      </c>
      <c r="B52" t="s">
        <v>10</v>
      </c>
      <c r="C52">
        <v>3212.8832685548959</v>
      </c>
      <c r="D52">
        <v>3198.0527634093469</v>
      </c>
      <c r="E52">
        <v>3239.3193719194269</v>
      </c>
      <c r="F52">
        <v>41.266608510080005</v>
      </c>
      <c r="G52">
        <v>3216.159228814688</v>
      </c>
      <c r="H52">
        <v>30.015196272845735</v>
      </c>
      <c r="I52">
        <v>3168.1237982138305</v>
      </c>
      <c r="J52">
        <v>3260.2227937146408</v>
      </c>
    </row>
    <row r="53" spans="1:10" x14ac:dyDescent="0.25">
      <c r="A53" t="s">
        <v>41</v>
      </c>
      <c r="B53" t="s">
        <v>10</v>
      </c>
      <c r="C53">
        <v>4107.4561248259233</v>
      </c>
      <c r="D53">
        <v>4093.1564842943667</v>
      </c>
      <c r="E53">
        <v>4129.1939462777918</v>
      </c>
      <c r="F53">
        <v>36.037461983425146</v>
      </c>
      <c r="G53">
        <v>4105.7800927580411</v>
      </c>
      <c r="H53">
        <v>28.720418358080011</v>
      </c>
      <c r="I53">
        <v>4042.7874065070218</v>
      </c>
      <c r="J53">
        <v>4137.915464505676</v>
      </c>
    </row>
    <row r="54" spans="1:10" x14ac:dyDescent="0.25">
      <c r="A54" t="s">
        <v>39</v>
      </c>
      <c r="B54" t="s">
        <v>10</v>
      </c>
      <c r="C54">
        <v>2690.6579672986263</v>
      </c>
      <c r="D54">
        <v>2669.0774217263961</v>
      </c>
      <c r="E54">
        <v>2699.4104987904111</v>
      </c>
      <c r="F54">
        <v>30.333077064015015</v>
      </c>
      <c r="G54">
        <v>2687.7206858102873</v>
      </c>
      <c r="H54">
        <v>20.755823981157903</v>
      </c>
      <c r="I54">
        <v>2658.6049045735685</v>
      </c>
      <c r="J54">
        <v>2714.9979082706077</v>
      </c>
    </row>
    <row r="55" spans="1:10" x14ac:dyDescent="0.25">
      <c r="A55" t="s">
        <v>40</v>
      </c>
      <c r="B55" t="s">
        <v>10</v>
      </c>
      <c r="C55">
        <v>3206.4299573444005</v>
      </c>
      <c r="D55">
        <v>3184.1377534158692</v>
      </c>
      <c r="E55">
        <v>3235.1937766864758</v>
      </c>
      <c r="F55">
        <v>51.056023270606602</v>
      </c>
      <c r="G55">
        <v>3212.6490226920878</v>
      </c>
      <c r="H55">
        <v>41.450587133571148</v>
      </c>
      <c r="I55">
        <v>3162.9017434767602</v>
      </c>
      <c r="J55">
        <v>3274.8496706457049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17F7-7393-4429-8C2F-4DEAD9A21928}">
  <dimension ref="A1:K41"/>
  <sheetViews>
    <sheetView topLeftCell="K4" zoomScale="85" zoomScaleNormal="85" workbookViewId="0">
      <selection activeCell="L52" sqref="L52"/>
    </sheetView>
  </sheetViews>
  <sheetFormatPr defaultRowHeight="15" x14ac:dyDescent="0.25"/>
  <cols>
    <col min="1" max="1" width="36.28515625" bestFit="1" customWidth="1"/>
    <col min="2" max="2" width="27" bestFit="1" customWidth="1"/>
    <col min="3" max="3" width="12" customWidth="1"/>
    <col min="4" max="4" width="13.85546875" bestFit="1" customWidth="1"/>
    <col min="5" max="5" width="12" bestFit="1" customWidth="1"/>
    <col min="6" max="9" width="12" customWidth="1"/>
    <col min="10" max="10" width="14.85546875" bestFit="1" customWidth="1"/>
    <col min="11" max="12" width="12" bestFit="1" customWidth="1"/>
  </cols>
  <sheetData>
    <row r="1" spans="1:11" x14ac:dyDescent="0.25">
      <c r="A1" t="s">
        <v>18</v>
      </c>
      <c r="B1" t="s">
        <v>0</v>
      </c>
      <c r="C1" t="s">
        <v>26</v>
      </c>
      <c r="D1" t="s">
        <v>30</v>
      </c>
      <c r="E1" t="s">
        <v>27</v>
      </c>
      <c r="F1" t="s">
        <v>31</v>
      </c>
      <c r="G1" t="s">
        <v>28</v>
      </c>
      <c r="H1" t="s">
        <v>32</v>
      </c>
      <c r="I1" t="s">
        <v>33</v>
      </c>
      <c r="J1" t="s">
        <v>34</v>
      </c>
      <c r="K1" t="s">
        <v>29</v>
      </c>
    </row>
    <row r="2" spans="1:11" ht="14.25" customHeight="1" x14ac:dyDescent="0.25">
      <c r="A2" t="s">
        <v>17</v>
      </c>
      <c r="B2" t="s">
        <v>5</v>
      </c>
      <c r="C2">
        <v>6.28125</v>
      </c>
      <c r="D2" s="1">
        <f t="shared" ref="D2:D11" si="0">C2</f>
        <v>6.28125</v>
      </c>
      <c r="E2">
        <v>6.265625</v>
      </c>
      <c r="F2">
        <f t="shared" ref="F2:F11" si="1">E2</f>
        <v>6.265625</v>
      </c>
      <c r="G2">
        <v>6.29296875</v>
      </c>
      <c r="H2">
        <f t="shared" ref="H2:H11" si="2">G2</f>
        <v>6.29296875</v>
      </c>
      <c r="I2">
        <f>D2-F2</f>
        <v>1.5625E-2</v>
      </c>
      <c r="J2">
        <f>H2-D2</f>
        <v>1.171875E-2</v>
      </c>
      <c r="K2">
        <v>2.734375E-2</v>
      </c>
    </row>
    <row r="3" spans="1:11" x14ac:dyDescent="0.25">
      <c r="A3" t="s">
        <v>24</v>
      </c>
      <c r="B3" t="s">
        <v>5</v>
      </c>
      <c r="C3">
        <v>30.5859375</v>
      </c>
      <c r="D3" s="1">
        <f t="shared" si="0"/>
        <v>30.5859375</v>
      </c>
      <c r="E3">
        <v>30.3515625</v>
      </c>
      <c r="F3">
        <f t="shared" si="1"/>
        <v>30.3515625</v>
      </c>
      <c r="G3">
        <v>30.984375</v>
      </c>
      <c r="H3">
        <f t="shared" si="2"/>
        <v>30.984375</v>
      </c>
      <c r="I3">
        <f>D3-F3</f>
        <v>0.234375</v>
      </c>
      <c r="J3">
        <f>H3-D3</f>
        <v>0.3984375</v>
      </c>
      <c r="K3">
        <v>0.6328125</v>
      </c>
    </row>
    <row r="4" spans="1:11" x14ac:dyDescent="0.25">
      <c r="A4" t="s">
        <v>25</v>
      </c>
      <c r="B4" t="s">
        <v>5</v>
      </c>
      <c r="C4">
        <v>24.2734375</v>
      </c>
      <c r="D4" s="1">
        <f t="shared" si="0"/>
        <v>24.2734375</v>
      </c>
      <c r="E4">
        <v>24.109375</v>
      </c>
      <c r="F4">
        <f t="shared" si="1"/>
        <v>24.109375</v>
      </c>
      <c r="G4">
        <v>24.3828125</v>
      </c>
      <c r="H4">
        <f t="shared" si="2"/>
        <v>24.3828125</v>
      </c>
      <c r="I4">
        <f>D4-F4</f>
        <v>0.1640625</v>
      </c>
      <c r="J4">
        <f>H4-D4</f>
        <v>0.109375</v>
      </c>
      <c r="K4">
        <v>0.2734375</v>
      </c>
    </row>
    <row r="5" spans="1:11" x14ac:dyDescent="0.25">
      <c r="A5" t="s">
        <v>35</v>
      </c>
      <c r="B5" t="s">
        <v>5</v>
      </c>
      <c r="C5">
        <v>37.0390625</v>
      </c>
      <c r="D5" s="1">
        <f t="shared" si="0"/>
        <v>37.0390625</v>
      </c>
      <c r="E5">
        <v>36.8046875</v>
      </c>
      <c r="F5">
        <f t="shared" si="1"/>
        <v>36.8046875</v>
      </c>
      <c r="G5">
        <v>37.234375</v>
      </c>
      <c r="H5">
        <f t="shared" si="2"/>
        <v>37.234375</v>
      </c>
      <c r="I5">
        <f>D5-F5</f>
        <v>0.234375</v>
      </c>
      <c r="J5">
        <f>H5-D5</f>
        <v>0.1953125</v>
      </c>
      <c r="K5">
        <v>0.4296875</v>
      </c>
    </row>
    <row r="6" spans="1:11" x14ac:dyDescent="0.25">
      <c r="A6" t="s">
        <v>36</v>
      </c>
      <c r="B6" t="s">
        <v>5</v>
      </c>
      <c r="C6">
        <v>31.8125</v>
      </c>
      <c r="D6" s="1">
        <f t="shared" si="0"/>
        <v>31.8125</v>
      </c>
      <c r="E6">
        <v>31.6875</v>
      </c>
      <c r="F6">
        <f t="shared" si="1"/>
        <v>31.6875</v>
      </c>
      <c r="G6">
        <v>31.91796875</v>
      </c>
      <c r="H6">
        <f t="shared" si="2"/>
        <v>31.91796875</v>
      </c>
      <c r="I6">
        <f>D6-F6</f>
        <v>0.125</v>
      </c>
      <c r="J6">
        <f>H6-D6</f>
        <v>0.10546875</v>
      </c>
      <c r="K6">
        <v>0.23046875</v>
      </c>
    </row>
    <row r="7" spans="1:11" x14ac:dyDescent="0.25">
      <c r="A7" s="3"/>
      <c r="B7" s="3"/>
      <c r="C7">
        <v>6.234375</v>
      </c>
      <c r="D7" s="1">
        <f t="shared" si="0"/>
        <v>6.234375</v>
      </c>
      <c r="E7">
        <v>6.22265625</v>
      </c>
      <c r="F7" s="3">
        <f t="shared" si="1"/>
        <v>6.22265625</v>
      </c>
      <c r="G7">
        <v>6.234375</v>
      </c>
      <c r="H7" s="3">
        <f t="shared" si="2"/>
        <v>6.234375</v>
      </c>
      <c r="I7" s="1">
        <f>D7-F7</f>
        <v>1.171875E-2</v>
      </c>
      <c r="J7" s="1">
        <f>H7-D7</f>
        <v>0</v>
      </c>
      <c r="K7">
        <v>1.171875E-2</v>
      </c>
    </row>
    <row r="8" spans="1:11" x14ac:dyDescent="0.25">
      <c r="A8" s="3"/>
      <c r="B8" s="3"/>
      <c r="C8">
        <v>30.8984375</v>
      </c>
      <c r="D8" s="1">
        <f t="shared" si="0"/>
        <v>30.8984375</v>
      </c>
      <c r="E8">
        <v>30.7421875</v>
      </c>
      <c r="F8" s="3">
        <f t="shared" si="1"/>
        <v>30.7421875</v>
      </c>
      <c r="G8">
        <v>31.03125</v>
      </c>
      <c r="H8" s="3">
        <f t="shared" si="2"/>
        <v>31.03125</v>
      </c>
      <c r="I8" s="1">
        <f>D8-F8</f>
        <v>0.15625</v>
      </c>
      <c r="J8" s="1">
        <f>H8-D8</f>
        <v>0.1328125</v>
      </c>
      <c r="K8">
        <v>0.2890625</v>
      </c>
    </row>
    <row r="9" spans="1:11" x14ac:dyDescent="0.25">
      <c r="A9" s="3"/>
      <c r="B9" s="3"/>
      <c r="C9">
        <v>24.09375</v>
      </c>
      <c r="D9" s="1">
        <f t="shared" si="0"/>
        <v>24.09375</v>
      </c>
      <c r="E9">
        <v>24.0234375</v>
      </c>
      <c r="F9" s="3">
        <f t="shared" si="1"/>
        <v>24.0234375</v>
      </c>
      <c r="G9">
        <v>24.265625</v>
      </c>
      <c r="H9" s="3">
        <f t="shared" si="2"/>
        <v>24.265625</v>
      </c>
      <c r="I9" s="1">
        <f>D9-F9</f>
        <v>7.03125E-2</v>
      </c>
      <c r="J9" s="1">
        <f>H9-D9</f>
        <v>0.171875</v>
      </c>
      <c r="K9">
        <v>0.2421875</v>
      </c>
    </row>
    <row r="10" spans="1:11" x14ac:dyDescent="0.25">
      <c r="A10" s="3"/>
      <c r="B10" s="3"/>
      <c r="C10">
        <v>36.9375</v>
      </c>
      <c r="D10" s="1">
        <f t="shared" si="0"/>
        <v>36.9375</v>
      </c>
      <c r="E10">
        <v>36.72265625</v>
      </c>
      <c r="F10" s="3">
        <f t="shared" si="1"/>
        <v>36.72265625</v>
      </c>
      <c r="G10">
        <v>37.125</v>
      </c>
      <c r="H10" s="3">
        <f t="shared" si="2"/>
        <v>37.125</v>
      </c>
      <c r="I10" s="1">
        <f>D10-F10</f>
        <v>0.21484375</v>
      </c>
      <c r="J10" s="1">
        <f>H10-D10</f>
        <v>0.1875</v>
      </c>
      <c r="K10">
        <v>0.40234375</v>
      </c>
    </row>
    <row r="11" spans="1:11" x14ac:dyDescent="0.25">
      <c r="A11" s="3"/>
      <c r="B11" s="3"/>
      <c r="C11">
        <v>30.984375</v>
      </c>
      <c r="D11" s="1">
        <f t="shared" si="0"/>
        <v>30.984375</v>
      </c>
      <c r="E11">
        <v>30.65234375</v>
      </c>
      <c r="F11" s="3">
        <f t="shared" si="1"/>
        <v>30.65234375</v>
      </c>
      <c r="G11">
        <v>31.2578125</v>
      </c>
      <c r="H11" s="3">
        <f t="shared" si="2"/>
        <v>31.2578125</v>
      </c>
      <c r="I11" s="1">
        <f>D11-F11</f>
        <v>0.33203125</v>
      </c>
      <c r="J11" s="1">
        <f>H11-D11</f>
        <v>0.2734375</v>
      </c>
      <c r="K11">
        <v>0.60546875</v>
      </c>
    </row>
    <row r="16" spans="1:11" x14ac:dyDescent="0.25">
      <c r="A16" t="s">
        <v>54</v>
      </c>
    </row>
    <row r="17" spans="1:10" x14ac:dyDescent="0.25">
      <c r="A17" t="s">
        <v>55</v>
      </c>
    </row>
    <row r="26" spans="1:10" x14ac:dyDescent="0.25">
      <c r="A26" t="s">
        <v>22</v>
      </c>
      <c r="B26" t="s">
        <v>11</v>
      </c>
      <c r="C26">
        <v>6.28125</v>
      </c>
      <c r="D26">
        <v>6.265625</v>
      </c>
      <c r="E26">
        <v>6.29296875</v>
      </c>
      <c r="F26">
        <v>2.734375E-2</v>
      </c>
      <c r="G26">
        <v>6.2671875000000004</v>
      </c>
      <c r="H26">
        <v>4.5673252642486985E-2</v>
      </c>
      <c r="I26">
        <v>6.1875</v>
      </c>
      <c r="J26">
        <v>6.328125</v>
      </c>
    </row>
    <row r="27" spans="1:10" x14ac:dyDescent="0.25">
      <c r="A27" t="s">
        <v>19</v>
      </c>
      <c r="B27" t="s">
        <v>11</v>
      </c>
      <c r="C27">
        <v>30.5859375</v>
      </c>
      <c r="D27">
        <v>30.3515625</v>
      </c>
      <c r="E27">
        <v>30.984375</v>
      </c>
      <c r="F27">
        <v>0.6328125</v>
      </c>
      <c r="G27">
        <v>30.675000000000001</v>
      </c>
      <c r="H27">
        <v>0.39746101748054069</v>
      </c>
      <c r="I27">
        <v>30.234375</v>
      </c>
      <c r="J27">
        <v>31.328125</v>
      </c>
    </row>
    <row r="28" spans="1:10" x14ac:dyDescent="0.25">
      <c r="A28" t="s">
        <v>23</v>
      </c>
      <c r="B28" t="s">
        <v>11</v>
      </c>
      <c r="C28">
        <v>24.2734375</v>
      </c>
      <c r="D28">
        <v>24.109375</v>
      </c>
      <c r="E28">
        <v>24.3828125</v>
      </c>
      <c r="F28">
        <v>0.2734375</v>
      </c>
      <c r="G28">
        <v>24.256250000000001</v>
      </c>
      <c r="H28">
        <v>0.20268381574922717</v>
      </c>
      <c r="I28">
        <v>23.953125</v>
      </c>
      <c r="J28">
        <v>24.578125</v>
      </c>
    </row>
    <row r="29" spans="1:10" x14ac:dyDescent="0.25">
      <c r="A29" t="s">
        <v>20</v>
      </c>
      <c r="B29" t="s">
        <v>11</v>
      </c>
      <c r="C29">
        <v>37.0390625</v>
      </c>
      <c r="D29">
        <v>36.8046875</v>
      </c>
      <c r="E29">
        <v>37.234375</v>
      </c>
      <c r="F29">
        <v>0.4296875</v>
      </c>
      <c r="G29">
        <v>37.028125000000003</v>
      </c>
      <c r="H29">
        <v>0.28123070921497095</v>
      </c>
      <c r="I29">
        <v>36.640625</v>
      </c>
      <c r="J29">
        <v>37.40625</v>
      </c>
    </row>
    <row r="30" spans="1:10" x14ac:dyDescent="0.25">
      <c r="A30" t="s">
        <v>21</v>
      </c>
      <c r="B30" t="s">
        <v>11</v>
      </c>
      <c r="C30">
        <v>31.8125</v>
      </c>
      <c r="D30">
        <v>31.6875</v>
      </c>
      <c r="E30">
        <v>31.91796875</v>
      </c>
      <c r="F30">
        <v>0.23046875</v>
      </c>
      <c r="G30">
        <v>31.762499999999999</v>
      </c>
      <c r="H30">
        <v>0.25460174510617772</v>
      </c>
      <c r="I30">
        <v>31.140625</v>
      </c>
      <c r="J30">
        <v>32.03125</v>
      </c>
    </row>
    <row r="37" spans="1:10" x14ac:dyDescent="0.25">
      <c r="A37" t="s">
        <v>38</v>
      </c>
      <c r="B37" t="s">
        <v>11</v>
      </c>
      <c r="C37">
        <v>6.234375</v>
      </c>
      <c r="D37">
        <v>6.22265625</v>
      </c>
      <c r="E37">
        <v>6.234375</v>
      </c>
      <c r="F37">
        <v>1.171875E-2</v>
      </c>
      <c r="G37">
        <v>6.2218749999999998</v>
      </c>
      <c r="H37">
        <v>3.439077920670662E-2</v>
      </c>
      <c r="I37">
        <v>6.140625</v>
      </c>
      <c r="J37">
        <v>6.265625</v>
      </c>
    </row>
    <row r="38" spans="1:10" x14ac:dyDescent="0.25">
      <c r="A38" t="s">
        <v>37</v>
      </c>
      <c r="B38" t="s">
        <v>11</v>
      </c>
      <c r="C38">
        <v>30.8984375</v>
      </c>
      <c r="D38">
        <v>30.7421875</v>
      </c>
      <c r="E38">
        <v>31.03125</v>
      </c>
      <c r="F38">
        <v>0.2890625</v>
      </c>
      <c r="G38">
        <v>30.865625000000001</v>
      </c>
      <c r="H38">
        <v>0.28746980517767229</v>
      </c>
      <c r="I38">
        <v>30.328125</v>
      </c>
      <c r="J38">
        <v>31.3125</v>
      </c>
    </row>
    <row r="39" spans="1:10" x14ac:dyDescent="0.25">
      <c r="A39" t="s">
        <v>41</v>
      </c>
      <c r="B39" t="s">
        <v>11</v>
      </c>
      <c r="C39">
        <v>24.09375</v>
      </c>
      <c r="D39">
        <v>24.0234375</v>
      </c>
      <c r="E39">
        <v>24.265625</v>
      </c>
      <c r="F39">
        <v>0.2421875</v>
      </c>
      <c r="G39">
        <v>24.143750000000001</v>
      </c>
      <c r="H39">
        <v>0.16217917046690469</v>
      </c>
      <c r="I39">
        <v>23.953125</v>
      </c>
      <c r="J39">
        <v>24.453125</v>
      </c>
    </row>
    <row r="40" spans="1:10" x14ac:dyDescent="0.25">
      <c r="A40" t="s">
        <v>39</v>
      </c>
      <c r="B40" t="s">
        <v>11</v>
      </c>
      <c r="C40">
        <v>36.9375</v>
      </c>
      <c r="D40">
        <v>36.72265625</v>
      </c>
      <c r="E40">
        <v>37.125</v>
      </c>
      <c r="F40">
        <v>0.40234375</v>
      </c>
      <c r="G40">
        <v>36.920312500000001</v>
      </c>
      <c r="H40">
        <v>0.27964918654400239</v>
      </c>
      <c r="I40">
        <v>36.515625</v>
      </c>
      <c r="J40">
        <v>37.328125</v>
      </c>
    </row>
    <row r="41" spans="1:10" x14ac:dyDescent="0.25">
      <c r="A41" t="s">
        <v>40</v>
      </c>
      <c r="B41" t="s">
        <v>11</v>
      </c>
      <c r="C41">
        <v>30.984375</v>
      </c>
      <c r="D41">
        <v>30.65234375</v>
      </c>
      <c r="E41">
        <v>31.2578125</v>
      </c>
      <c r="F41">
        <v>0.60546875</v>
      </c>
      <c r="G41">
        <v>30.946874999999999</v>
      </c>
      <c r="H41">
        <v>0.3758814871220863</v>
      </c>
      <c r="I41">
        <v>30.421875</v>
      </c>
      <c r="J41">
        <v>31.40625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BA0F-F77A-46AD-B9F8-8ED6ACD667FB}">
  <dimension ref="A1:K50"/>
  <sheetViews>
    <sheetView zoomScale="70" zoomScaleNormal="70" workbookViewId="0">
      <selection activeCell="AJ15" sqref="AJ15"/>
    </sheetView>
  </sheetViews>
  <sheetFormatPr defaultRowHeight="15" x14ac:dyDescent="0.25"/>
  <cols>
    <col min="1" max="1" width="36.28515625" bestFit="1" customWidth="1"/>
    <col min="2" max="2" width="27" bestFit="1" customWidth="1"/>
    <col min="3" max="3" width="12" customWidth="1"/>
    <col min="4" max="4" width="13.85546875" bestFit="1" customWidth="1"/>
    <col min="5" max="5" width="12" bestFit="1" customWidth="1"/>
    <col min="6" max="9" width="12" customWidth="1"/>
    <col min="10" max="10" width="14.85546875" bestFit="1" customWidth="1"/>
    <col min="11" max="12" width="12" bestFit="1" customWidth="1"/>
  </cols>
  <sheetData>
    <row r="1" spans="1:11" x14ac:dyDescent="0.25">
      <c r="A1" t="s">
        <v>18</v>
      </c>
      <c r="B1" t="s">
        <v>0</v>
      </c>
      <c r="C1" t="s">
        <v>26</v>
      </c>
      <c r="D1" t="s">
        <v>30</v>
      </c>
      <c r="E1" t="s">
        <v>27</v>
      </c>
      <c r="F1" t="s">
        <v>31</v>
      </c>
      <c r="G1" t="s">
        <v>28</v>
      </c>
      <c r="H1" t="s">
        <v>32</v>
      </c>
      <c r="I1" t="s">
        <v>33</v>
      </c>
      <c r="J1" t="s">
        <v>34</v>
      </c>
      <c r="K1" t="s">
        <v>29</v>
      </c>
    </row>
    <row r="2" spans="1:11" ht="14.25" customHeight="1" x14ac:dyDescent="0.25">
      <c r="A2" t="s">
        <v>17</v>
      </c>
      <c r="B2" t="s">
        <v>5</v>
      </c>
      <c r="C2">
        <v>3.3214481999999999</v>
      </c>
      <c r="D2" s="1">
        <f t="shared" ref="D2:D11" si="0">C2*10</f>
        <v>33.214481999999997</v>
      </c>
      <c r="E2">
        <v>3.3131656249999999</v>
      </c>
      <c r="F2">
        <f t="shared" ref="F2:F11" si="1">E2*10</f>
        <v>33.131656249999999</v>
      </c>
      <c r="G2">
        <v>3.35019125</v>
      </c>
      <c r="H2">
        <f t="shared" ref="H2:H11" si="2">G2*10</f>
        <v>33.501912500000003</v>
      </c>
      <c r="I2">
        <f>D2-F2</f>
        <v>8.2825749999997811E-2</v>
      </c>
      <c r="J2">
        <f>H2-D2</f>
        <v>0.28743050000000636</v>
      </c>
      <c r="K2">
        <v>3.7025625000000062E-2</v>
      </c>
    </row>
    <row r="3" spans="1:11" x14ac:dyDescent="0.25">
      <c r="A3" t="s">
        <v>24</v>
      </c>
      <c r="B3" t="s">
        <v>5</v>
      </c>
      <c r="C3">
        <v>5.4925685499999997</v>
      </c>
      <c r="D3" s="1">
        <f t="shared" si="0"/>
        <v>54.9256855</v>
      </c>
      <c r="E3">
        <v>5.46451055</v>
      </c>
      <c r="F3">
        <f t="shared" si="1"/>
        <v>54.6451055</v>
      </c>
      <c r="G3">
        <v>5.5338481250000005</v>
      </c>
      <c r="H3">
        <f t="shared" si="2"/>
        <v>55.338481250000001</v>
      </c>
      <c r="I3">
        <f>D3-F3</f>
        <v>0.2805800000000005</v>
      </c>
      <c r="J3">
        <f>H3-D3</f>
        <v>0.41279575000000079</v>
      </c>
      <c r="K3">
        <v>6.9337575000000484E-2</v>
      </c>
    </row>
    <row r="4" spans="1:11" x14ac:dyDescent="0.25">
      <c r="A4" t="s">
        <v>25</v>
      </c>
      <c r="B4" t="s">
        <v>5</v>
      </c>
      <c r="C4">
        <v>2.8693252</v>
      </c>
      <c r="D4" s="1">
        <f t="shared" si="0"/>
        <v>28.693252000000001</v>
      </c>
      <c r="E4">
        <v>2.8552169250000001</v>
      </c>
      <c r="F4">
        <f t="shared" si="1"/>
        <v>28.552169250000002</v>
      </c>
      <c r="G4">
        <v>2.8862019749999996</v>
      </c>
      <c r="H4">
        <f t="shared" si="2"/>
        <v>28.862019749999995</v>
      </c>
      <c r="I4">
        <f>D4-F4</f>
        <v>0.14108274999999892</v>
      </c>
      <c r="J4">
        <f>H4-D4</f>
        <v>0.16876774999999355</v>
      </c>
      <c r="K4">
        <v>3.0985049999999514E-2</v>
      </c>
    </row>
    <row r="5" spans="1:11" x14ac:dyDescent="0.25">
      <c r="A5" t="s">
        <v>35</v>
      </c>
      <c r="B5" t="s">
        <v>5</v>
      </c>
      <c r="C5">
        <v>8.92537995</v>
      </c>
      <c r="D5" s="1">
        <f t="shared" si="0"/>
        <v>89.2537995</v>
      </c>
      <c r="E5">
        <v>8.8665330749999995</v>
      </c>
      <c r="F5">
        <f t="shared" si="1"/>
        <v>88.665330749999995</v>
      </c>
      <c r="G5">
        <v>8.9390303250000009</v>
      </c>
      <c r="H5">
        <f t="shared" si="2"/>
        <v>89.390303250000017</v>
      </c>
      <c r="I5">
        <f>D5-F5</f>
        <v>0.58846875000000409</v>
      </c>
      <c r="J5">
        <f>H5-D5</f>
        <v>0.13650375000001702</v>
      </c>
      <c r="K5">
        <v>7.2497250000001401E-2</v>
      </c>
    </row>
    <row r="6" spans="1:11" x14ac:dyDescent="0.25">
      <c r="A6" t="s">
        <v>36</v>
      </c>
      <c r="B6" t="s">
        <v>5</v>
      </c>
      <c r="C6">
        <v>6.3514838999999998</v>
      </c>
      <c r="D6" s="1">
        <f t="shared" si="0"/>
        <v>63.514838999999995</v>
      </c>
      <c r="E6">
        <v>6.3021282999999997</v>
      </c>
      <c r="F6">
        <f t="shared" si="1"/>
        <v>63.021282999999997</v>
      </c>
      <c r="G6">
        <v>6.3895971500000002</v>
      </c>
      <c r="H6">
        <f t="shared" si="2"/>
        <v>63.895971500000002</v>
      </c>
      <c r="I6">
        <f>D6-F6</f>
        <v>0.49355599999999811</v>
      </c>
      <c r="J6">
        <f>H6-D6</f>
        <v>0.38113250000000676</v>
      </c>
      <c r="K6">
        <v>8.7468850000000486E-2</v>
      </c>
    </row>
    <row r="7" spans="1:11" x14ac:dyDescent="0.25">
      <c r="A7" s="3"/>
      <c r="B7" s="3"/>
      <c r="C7">
        <v>3.5435700000000001E-2</v>
      </c>
      <c r="D7" s="1">
        <f t="shared" si="0"/>
        <v>0.35435700000000003</v>
      </c>
      <c r="E7">
        <v>3.4806150000000001E-2</v>
      </c>
      <c r="F7" s="3">
        <f t="shared" si="1"/>
        <v>0.34806150000000002</v>
      </c>
      <c r="G7">
        <v>3.6011000000000001E-2</v>
      </c>
      <c r="H7" s="3">
        <f t="shared" si="2"/>
        <v>0.36011000000000004</v>
      </c>
      <c r="I7" s="1">
        <f>D7-F7</f>
        <v>6.2955000000000094E-3</v>
      </c>
      <c r="J7" s="1">
        <f>H7-D7</f>
        <v>5.7530000000000081E-3</v>
      </c>
      <c r="K7">
        <v>1.2048500000000004E-3</v>
      </c>
    </row>
    <row r="8" spans="1:11" x14ac:dyDescent="0.25">
      <c r="A8" s="3"/>
      <c r="B8" s="3"/>
      <c r="C8">
        <v>3.844235E-2</v>
      </c>
      <c r="D8" s="1">
        <f t="shared" si="0"/>
        <v>0.38442350000000003</v>
      </c>
      <c r="E8">
        <v>3.8225750000000003E-2</v>
      </c>
      <c r="F8" s="3">
        <f t="shared" si="1"/>
        <v>0.38225750000000003</v>
      </c>
      <c r="G8">
        <v>3.8784899999999997E-2</v>
      </c>
      <c r="H8" s="3">
        <f t="shared" si="2"/>
        <v>0.387849</v>
      </c>
      <c r="I8" s="1">
        <f>D8-F8</f>
        <v>2.1660000000000013E-3</v>
      </c>
      <c r="J8" s="1">
        <f>H8-D8</f>
        <v>3.4254999999999702E-3</v>
      </c>
      <c r="K8">
        <v>5.5914999999999437E-4</v>
      </c>
    </row>
    <row r="9" spans="1:11" x14ac:dyDescent="0.25">
      <c r="A9" s="3"/>
      <c r="B9" s="3"/>
      <c r="C9">
        <v>3.5896999999999998E-2</v>
      </c>
      <c r="D9" s="1">
        <f t="shared" si="0"/>
        <v>0.35897000000000001</v>
      </c>
      <c r="E9">
        <v>3.5619225000000004E-2</v>
      </c>
      <c r="F9" s="3">
        <f t="shared" si="1"/>
        <v>0.35619225000000004</v>
      </c>
      <c r="G9">
        <v>3.6257400000000002E-2</v>
      </c>
      <c r="H9" s="3">
        <f t="shared" si="2"/>
        <v>0.36257400000000001</v>
      </c>
      <c r="I9" s="1">
        <f>D9-F9</f>
        <v>2.7777499999999677E-3</v>
      </c>
      <c r="J9" s="1">
        <f>H9-D9</f>
        <v>3.6039999999999961E-3</v>
      </c>
      <c r="K9">
        <v>6.3817499999999777E-4</v>
      </c>
    </row>
    <row r="10" spans="1:11" x14ac:dyDescent="0.25">
      <c r="A10" s="3"/>
      <c r="B10" s="3"/>
      <c r="C10">
        <v>3.8653950000000006E-2</v>
      </c>
      <c r="D10" s="1">
        <f t="shared" si="0"/>
        <v>0.38653950000000004</v>
      </c>
      <c r="E10">
        <v>3.8442174999999995E-2</v>
      </c>
      <c r="F10" s="3">
        <f t="shared" si="1"/>
        <v>0.38442174999999995</v>
      </c>
      <c r="G10">
        <v>3.8906700000000002E-2</v>
      </c>
      <c r="H10" s="3">
        <f t="shared" si="2"/>
        <v>0.38906700000000005</v>
      </c>
      <c r="I10" s="1">
        <f>D10-F10</f>
        <v>2.1177500000000848E-3</v>
      </c>
      <c r="J10" s="1">
        <f>H10-D10</f>
        <v>2.5275000000000158E-3</v>
      </c>
      <c r="K10">
        <v>4.6452500000000729E-4</v>
      </c>
    </row>
    <row r="11" spans="1:11" x14ac:dyDescent="0.25">
      <c r="A11" s="3"/>
      <c r="B11" s="3"/>
      <c r="C11">
        <v>3.7812749999999999E-2</v>
      </c>
      <c r="D11" s="1">
        <f t="shared" si="0"/>
        <v>0.37812750000000001</v>
      </c>
      <c r="E11">
        <v>3.7337574999999998E-2</v>
      </c>
      <c r="F11" s="3">
        <f t="shared" si="1"/>
        <v>0.37337575000000001</v>
      </c>
      <c r="G11">
        <v>3.8037000000000001E-2</v>
      </c>
      <c r="H11" s="3">
        <f t="shared" si="2"/>
        <v>0.38036999999999999</v>
      </c>
      <c r="I11" s="1">
        <f>D11-F11</f>
        <v>4.751749999999999E-3</v>
      </c>
      <c r="J11" s="1">
        <f>H11-D11</f>
        <v>2.2424999999999806E-3</v>
      </c>
      <c r="K11">
        <v>6.9942500000000352E-4</v>
      </c>
    </row>
    <row r="23" spans="1:10" x14ac:dyDescent="0.25">
      <c r="A23" t="s">
        <v>15</v>
      </c>
      <c r="B23" t="s">
        <v>16</v>
      </c>
      <c r="C23" t="s">
        <v>46</v>
      </c>
      <c r="D23" t="s">
        <v>47</v>
      </c>
      <c r="E23" t="s">
        <v>48</v>
      </c>
      <c r="F23" t="s">
        <v>49</v>
      </c>
      <c r="G23" t="s">
        <v>50</v>
      </c>
      <c r="H23" t="s">
        <v>51</v>
      </c>
      <c r="I23" t="s">
        <v>52</v>
      </c>
      <c r="J23" t="s">
        <v>53</v>
      </c>
    </row>
    <row r="32" spans="1:10" x14ac:dyDescent="0.25">
      <c r="A32" t="s">
        <v>38</v>
      </c>
      <c r="B32" t="s">
        <v>7</v>
      </c>
      <c r="C32">
        <v>3.3214481999999999</v>
      </c>
      <c r="D32">
        <v>3.3131656249999999</v>
      </c>
      <c r="E32">
        <v>3.35019125</v>
      </c>
      <c r="F32">
        <v>3.7025625000000062E-2</v>
      </c>
      <c r="G32">
        <v>3.3235594500000003</v>
      </c>
      <c r="H32">
        <v>3.1986628320709636E-2</v>
      </c>
      <c r="I32">
        <v>3.2576136999999998</v>
      </c>
      <c r="J32">
        <v>3.3633038000000002</v>
      </c>
    </row>
    <row r="33" spans="1:10" x14ac:dyDescent="0.25">
      <c r="A33" t="s">
        <v>37</v>
      </c>
      <c r="B33" t="s">
        <v>7</v>
      </c>
      <c r="C33">
        <v>5.4925685499999997</v>
      </c>
      <c r="D33">
        <v>5.46451055</v>
      </c>
      <c r="E33">
        <v>5.5338481250000005</v>
      </c>
      <c r="F33">
        <v>6.9337575000000484E-2</v>
      </c>
      <c r="G33">
        <v>5.4969717599999992</v>
      </c>
      <c r="H33">
        <v>4.710480660544121E-2</v>
      </c>
      <c r="I33">
        <v>5.4180207999999999</v>
      </c>
      <c r="J33">
        <v>5.5653636000000004</v>
      </c>
    </row>
    <row r="34" spans="1:10" x14ac:dyDescent="0.25">
      <c r="A34" t="s">
        <v>41</v>
      </c>
      <c r="B34" t="s">
        <v>7</v>
      </c>
      <c r="C34">
        <v>2.8693252</v>
      </c>
      <c r="D34">
        <v>2.8552169250000001</v>
      </c>
      <c r="E34">
        <v>2.8862019749999996</v>
      </c>
      <c r="F34">
        <v>3.0985049999999514E-2</v>
      </c>
      <c r="G34">
        <v>2.8712848200000001</v>
      </c>
      <c r="H34">
        <v>2.2563684459118476E-2</v>
      </c>
      <c r="I34">
        <v>2.8399708000000001</v>
      </c>
      <c r="J34">
        <v>2.9116726000000002</v>
      </c>
    </row>
    <row r="35" spans="1:10" x14ac:dyDescent="0.25">
      <c r="A35" t="s">
        <v>39</v>
      </c>
      <c r="B35" t="s">
        <v>7</v>
      </c>
      <c r="C35">
        <v>8.92537995</v>
      </c>
      <c r="D35">
        <v>8.8665330749999995</v>
      </c>
      <c r="E35">
        <v>8.9390303250000009</v>
      </c>
      <c r="F35">
        <v>7.2497250000001401E-2</v>
      </c>
      <c r="G35">
        <v>8.9093537300000012</v>
      </c>
      <c r="H35">
        <v>5.9041923408033749E-2</v>
      </c>
      <c r="I35">
        <v>8.8081595999999998</v>
      </c>
      <c r="J35">
        <v>8.9829320999999993</v>
      </c>
    </row>
    <row r="36" spans="1:10" x14ac:dyDescent="0.25">
      <c r="A36" t="s">
        <v>40</v>
      </c>
      <c r="B36" t="s">
        <v>7</v>
      </c>
      <c r="C36">
        <v>6.3514838999999998</v>
      </c>
      <c r="D36">
        <v>6.3021282999999997</v>
      </c>
      <c r="E36">
        <v>6.3895971500000002</v>
      </c>
      <c r="F36">
        <v>8.7468850000000486E-2</v>
      </c>
      <c r="G36">
        <v>6.3296092999999995</v>
      </c>
      <c r="H36">
        <v>7.5466557136551718E-2</v>
      </c>
      <c r="I36">
        <v>6.1756013000000003</v>
      </c>
      <c r="J36">
        <v>6.4073523999999997</v>
      </c>
    </row>
    <row r="42" spans="1:10" x14ac:dyDescent="0.25">
      <c r="A42" t="s">
        <v>54</v>
      </c>
    </row>
    <row r="43" spans="1:10" x14ac:dyDescent="0.25">
      <c r="A43" t="s">
        <v>55</v>
      </c>
    </row>
    <row r="46" spans="1:10" x14ac:dyDescent="0.25">
      <c r="A46" t="s">
        <v>22</v>
      </c>
      <c r="B46" t="s">
        <v>7</v>
      </c>
      <c r="C46">
        <v>3.5435700000000001E-2</v>
      </c>
      <c r="D46">
        <v>3.4806150000000001E-2</v>
      </c>
      <c r="E46">
        <v>3.6011000000000001E-2</v>
      </c>
      <c r="F46">
        <v>1.2048500000000004E-3</v>
      </c>
      <c r="G46">
        <v>3.545392E-2</v>
      </c>
      <c r="H46">
        <v>7.6427970272669159E-4</v>
      </c>
      <c r="I46">
        <v>3.4515999999999998E-2</v>
      </c>
      <c r="J46">
        <v>3.6774099999999997E-2</v>
      </c>
    </row>
    <row r="47" spans="1:10" x14ac:dyDescent="0.25">
      <c r="A47" t="s">
        <v>19</v>
      </c>
      <c r="B47" t="s">
        <v>7</v>
      </c>
      <c r="C47">
        <v>3.844235E-2</v>
      </c>
      <c r="D47">
        <v>3.8225750000000003E-2</v>
      </c>
      <c r="E47">
        <v>3.8784899999999997E-2</v>
      </c>
      <c r="F47">
        <v>5.5914999999999437E-4</v>
      </c>
      <c r="G47">
        <v>3.8689029999999999E-2</v>
      </c>
      <c r="H47">
        <v>1.523029921680246E-3</v>
      </c>
      <c r="I47">
        <v>3.6513799999999999E-2</v>
      </c>
      <c r="J47">
        <v>4.2536900000000002E-2</v>
      </c>
    </row>
    <row r="48" spans="1:10" x14ac:dyDescent="0.25">
      <c r="A48" t="s">
        <v>23</v>
      </c>
      <c r="B48" t="s">
        <v>7</v>
      </c>
      <c r="C48">
        <v>3.5896999999999998E-2</v>
      </c>
      <c r="D48">
        <v>3.5619225000000004E-2</v>
      </c>
      <c r="E48">
        <v>3.6257400000000002E-2</v>
      </c>
      <c r="F48">
        <v>6.3817499999999777E-4</v>
      </c>
      <c r="G48">
        <v>3.5808419999999994E-2</v>
      </c>
      <c r="H48">
        <v>5.578991282779829E-4</v>
      </c>
      <c r="I48">
        <v>3.4708700000000002E-2</v>
      </c>
      <c r="J48">
        <v>3.6428000000000002E-2</v>
      </c>
    </row>
    <row r="49" spans="1:10" x14ac:dyDescent="0.25">
      <c r="A49" t="s">
        <v>20</v>
      </c>
      <c r="B49" t="s">
        <v>7</v>
      </c>
      <c r="C49">
        <v>3.8653950000000006E-2</v>
      </c>
      <c r="D49">
        <v>3.8442174999999995E-2</v>
      </c>
      <c r="E49">
        <v>3.8906700000000002E-2</v>
      </c>
      <c r="F49">
        <v>4.6452500000000729E-4</v>
      </c>
      <c r="G49">
        <v>3.8580409999999996E-2</v>
      </c>
      <c r="H49">
        <v>6.4264257985636455E-4</v>
      </c>
      <c r="I49">
        <v>3.7051000000000001E-2</v>
      </c>
      <c r="J49">
        <v>3.9434299999999999E-2</v>
      </c>
    </row>
    <row r="50" spans="1:10" x14ac:dyDescent="0.25">
      <c r="A50" t="s">
        <v>21</v>
      </c>
      <c r="B50" t="s">
        <v>7</v>
      </c>
      <c r="C50">
        <v>3.7812749999999999E-2</v>
      </c>
      <c r="D50">
        <v>3.7337574999999998E-2</v>
      </c>
      <c r="E50">
        <v>3.8037000000000001E-2</v>
      </c>
      <c r="F50">
        <v>6.9942500000000352E-4</v>
      </c>
      <c r="G50">
        <v>3.7712559999999999E-2</v>
      </c>
      <c r="H50">
        <v>6.146690477177309E-4</v>
      </c>
      <c r="I50">
        <v>3.6558599999999997E-2</v>
      </c>
      <c r="J50">
        <v>3.8774299999999998E-2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36035-ED36-4A3A-9AC9-54B275E690D5}">
  <dimension ref="A1:K34"/>
  <sheetViews>
    <sheetView topLeftCell="K1" zoomScale="85" zoomScaleNormal="85" workbookViewId="0">
      <selection activeCell="C24" sqref="C24"/>
    </sheetView>
  </sheetViews>
  <sheetFormatPr defaultRowHeight="15" x14ac:dyDescent="0.25"/>
  <cols>
    <col min="1" max="1" width="36.28515625" bestFit="1" customWidth="1"/>
    <col min="2" max="2" width="27" bestFit="1" customWidth="1"/>
    <col min="3" max="3" width="12" customWidth="1"/>
    <col min="4" max="4" width="13.85546875" bestFit="1" customWidth="1"/>
    <col min="5" max="5" width="12" bestFit="1" customWidth="1"/>
    <col min="6" max="9" width="12" customWidth="1"/>
    <col min="10" max="10" width="14.85546875" bestFit="1" customWidth="1"/>
    <col min="11" max="12" width="12" bestFit="1" customWidth="1"/>
  </cols>
  <sheetData>
    <row r="1" spans="1:11" x14ac:dyDescent="0.25">
      <c r="A1" t="s">
        <v>18</v>
      </c>
      <c r="B1" t="s">
        <v>0</v>
      </c>
      <c r="C1" t="s">
        <v>26</v>
      </c>
      <c r="D1" t="s">
        <v>30</v>
      </c>
      <c r="E1" t="s">
        <v>27</v>
      </c>
      <c r="F1" t="s">
        <v>31</v>
      </c>
      <c r="G1" t="s">
        <v>28</v>
      </c>
      <c r="H1" t="s">
        <v>32</v>
      </c>
      <c r="I1" t="s">
        <v>33</v>
      </c>
      <c r="J1" t="s">
        <v>34</v>
      </c>
      <c r="K1" t="s">
        <v>29</v>
      </c>
    </row>
    <row r="2" spans="1:11" ht="14.25" customHeight="1" x14ac:dyDescent="0.25">
      <c r="A2" t="s">
        <v>17</v>
      </c>
      <c r="B2" t="s">
        <v>5</v>
      </c>
      <c r="C2">
        <v>395853824</v>
      </c>
      <c r="D2" s="1">
        <f t="shared" ref="D2:D11" si="0">C2/1000000</f>
        <v>395.85382399999997</v>
      </c>
      <c r="E2">
        <v>395635712</v>
      </c>
      <c r="F2">
        <f t="shared" ref="F2:F11" si="1">E2/1000000</f>
        <v>395.63571200000001</v>
      </c>
      <c r="G2">
        <v>396356608</v>
      </c>
      <c r="H2">
        <f t="shared" ref="H2:H11" si="2">G2/1000000</f>
        <v>396.35660799999999</v>
      </c>
      <c r="I2">
        <f>D2-F2</f>
        <v>0.21811199999996234</v>
      </c>
      <c r="J2">
        <f>H2-D2</f>
        <v>0.50278400000001966</v>
      </c>
      <c r="K2">
        <v>720896</v>
      </c>
    </row>
    <row r="3" spans="1:11" x14ac:dyDescent="0.25">
      <c r="A3" t="s">
        <v>24</v>
      </c>
      <c r="B3" t="s">
        <v>5</v>
      </c>
      <c r="C3">
        <v>429350912</v>
      </c>
      <c r="D3" s="1">
        <f>C3/1000000</f>
        <v>429.35091199999999</v>
      </c>
      <c r="E3">
        <v>429047808</v>
      </c>
      <c r="F3">
        <f t="shared" si="1"/>
        <v>429.04780799999997</v>
      </c>
      <c r="G3">
        <v>429544448</v>
      </c>
      <c r="H3">
        <f t="shared" si="2"/>
        <v>429.54444799999999</v>
      </c>
      <c r="I3">
        <f>D3-F3</f>
        <v>0.30310400000001891</v>
      </c>
      <c r="J3">
        <f>H3-D3</f>
        <v>0.1935359999999946</v>
      </c>
      <c r="K3">
        <v>496640</v>
      </c>
    </row>
    <row r="4" spans="1:11" x14ac:dyDescent="0.25">
      <c r="A4" t="s">
        <v>25</v>
      </c>
      <c r="B4" t="s">
        <v>5</v>
      </c>
      <c r="C4">
        <v>239527936</v>
      </c>
      <c r="D4" s="1">
        <f t="shared" si="0"/>
        <v>239.52793600000001</v>
      </c>
      <c r="E4">
        <v>239377408</v>
      </c>
      <c r="F4">
        <f t="shared" si="1"/>
        <v>239.377408</v>
      </c>
      <c r="G4">
        <v>239770624</v>
      </c>
      <c r="H4">
        <f t="shared" si="2"/>
        <v>239.770624</v>
      </c>
      <c r="I4">
        <f>D4-F4</f>
        <v>0.15052800000000843</v>
      </c>
      <c r="J4">
        <f>H4-D4</f>
        <v>0.24268799999998691</v>
      </c>
      <c r="K4">
        <v>393216</v>
      </c>
    </row>
    <row r="5" spans="1:11" x14ac:dyDescent="0.25">
      <c r="A5" t="s">
        <v>35</v>
      </c>
      <c r="B5" t="s">
        <v>5</v>
      </c>
      <c r="C5">
        <v>136966144</v>
      </c>
      <c r="D5" s="1">
        <f t="shared" si="0"/>
        <v>136.96614400000001</v>
      </c>
      <c r="E5">
        <v>136659968</v>
      </c>
      <c r="F5">
        <f t="shared" si="1"/>
        <v>136.65996799999999</v>
      </c>
      <c r="G5">
        <v>137294848</v>
      </c>
      <c r="H5">
        <f t="shared" si="2"/>
        <v>137.294848</v>
      </c>
      <c r="I5">
        <f>D5-F5</f>
        <v>0.30617600000002199</v>
      </c>
      <c r="J5">
        <f>H5-D5</f>
        <v>0.32870399999998767</v>
      </c>
      <c r="K5">
        <v>634880</v>
      </c>
    </row>
    <row r="6" spans="1:11" x14ac:dyDescent="0.25">
      <c r="A6" t="s">
        <v>36</v>
      </c>
      <c r="B6" t="s">
        <v>5</v>
      </c>
      <c r="C6">
        <v>205932544</v>
      </c>
      <c r="D6" s="1">
        <f t="shared" si="0"/>
        <v>205.93254400000001</v>
      </c>
      <c r="E6">
        <v>205762560</v>
      </c>
      <c r="F6">
        <f t="shared" si="1"/>
        <v>205.76256000000001</v>
      </c>
      <c r="G6">
        <v>206245888</v>
      </c>
      <c r="H6">
        <f t="shared" si="2"/>
        <v>206.24588800000001</v>
      </c>
      <c r="I6">
        <f>D6-F6</f>
        <v>0.16998399999999947</v>
      </c>
      <c r="J6">
        <f>H6-D6</f>
        <v>0.31334400000000073</v>
      </c>
      <c r="K6">
        <v>483328</v>
      </c>
    </row>
    <row r="7" spans="1:11" x14ac:dyDescent="0.25">
      <c r="A7" s="3"/>
      <c r="B7" s="3"/>
      <c r="C7">
        <v>390027264</v>
      </c>
      <c r="D7" s="1">
        <f t="shared" si="0"/>
        <v>390.027264</v>
      </c>
      <c r="E7">
        <v>389249024</v>
      </c>
      <c r="F7" s="3">
        <f t="shared" si="1"/>
        <v>389.24902400000002</v>
      </c>
      <c r="G7">
        <v>390238208</v>
      </c>
      <c r="H7" s="3">
        <f t="shared" si="2"/>
        <v>390.23820799999999</v>
      </c>
      <c r="I7" s="1">
        <f>D7-F7</f>
        <v>0.7782399999999825</v>
      </c>
      <c r="J7" s="1">
        <f>H7-D7</f>
        <v>0.21094399999998359</v>
      </c>
      <c r="K7">
        <v>989184</v>
      </c>
    </row>
    <row r="8" spans="1:11" x14ac:dyDescent="0.25">
      <c r="A8" s="3"/>
      <c r="B8" s="3"/>
      <c r="C8">
        <v>130199552</v>
      </c>
      <c r="D8" s="1">
        <f t="shared" si="0"/>
        <v>130.19955200000001</v>
      </c>
      <c r="E8">
        <v>130095104</v>
      </c>
      <c r="F8" s="3">
        <f t="shared" si="1"/>
        <v>130.09510399999999</v>
      </c>
      <c r="G8">
        <v>130765824</v>
      </c>
      <c r="H8" s="3">
        <f t="shared" si="2"/>
        <v>130.76582400000001</v>
      </c>
      <c r="I8" s="1">
        <f>D8-F8</f>
        <v>0.10444800000001919</v>
      </c>
      <c r="J8" s="1">
        <f>H8-D8</f>
        <v>0.56627199999999789</v>
      </c>
      <c r="K8">
        <v>670720</v>
      </c>
    </row>
    <row r="9" spans="1:11" x14ac:dyDescent="0.25">
      <c r="A9" s="3"/>
      <c r="B9" s="3"/>
      <c r="C9">
        <v>419741696</v>
      </c>
      <c r="D9" s="1">
        <f t="shared" si="0"/>
        <v>419.74169599999999</v>
      </c>
      <c r="E9">
        <v>419343360</v>
      </c>
      <c r="F9" s="3">
        <f t="shared" si="1"/>
        <v>419.34336000000002</v>
      </c>
      <c r="G9">
        <v>420317184</v>
      </c>
      <c r="H9" s="3">
        <f t="shared" si="2"/>
        <v>420.317184</v>
      </c>
      <c r="I9" s="1">
        <f>D9-F9</f>
        <v>0.39833599999997205</v>
      </c>
      <c r="J9" s="1">
        <f>H9-D9</f>
        <v>0.5754880000000071</v>
      </c>
      <c r="K9">
        <v>973824</v>
      </c>
    </row>
    <row r="10" spans="1:11" x14ac:dyDescent="0.25">
      <c r="A10" s="3"/>
      <c r="B10" s="3"/>
      <c r="C10">
        <v>230164480</v>
      </c>
      <c r="D10" s="1">
        <f t="shared" si="0"/>
        <v>230.16448</v>
      </c>
      <c r="E10">
        <v>230003712</v>
      </c>
      <c r="F10" s="3">
        <f t="shared" si="1"/>
        <v>230.00371200000001</v>
      </c>
      <c r="G10">
        <v>230455296</v>
      </c>
      <c r="H10" s="3">
        <f t="shared" si="2"/>
        <v>230.455296</v>
      </c>
      <c r="I10" s="1">
        <f>D10-F10</f>
        <v>0.16076799999999025</v>
      </c>
      <c r="J10" s="1">
        <f>H10-D10</f>
        <v>0.29081600000000662</v>
      </c>
      <c r="K10">
        <v>451584</v>
      </c>
    </row>
    <row r="11" spans="1:11" x14ac:dyDescent="0.25">
      <c r="A11" s="3"/>
      <c r="B11" s="3"/>
      <c r="C11">
        <v>199804928</v>
      </c>
      <c r="D11" s="1">
        <f t="shared" si="0"/>
        <v>199.80492799999999</v>
      </c>
      <c r="E11">
        <v>199533568</v>
      </c>
      <c r="F11" s="3">
        <f t="shared" si="1"/>
        <v>199.533568</v>
      </c>
      <c r="G11">
        <v>200236032</v>
      </c>
      <c r="H11" s="3">
        <f t="shared" si="2"/>
        <v>200.23603199999999</v>
      </c>
      <c r="I11" s="1">
        <f>D11-F11</f>
        <v>0.27135999999998717</v>
      </c>
      <c r="J11" s="1">
        <f>H11-D11</f>
        <v>0.43110400000000482</v>
      </c>
      <c r="K11">
        <v>702464</v>
      </c>
    </row>
    <row r="16" spans="1:11" x14ac:dyDescent="0.25">
      <c r="A16" t="s">
        <v>54</v>
      </c>
    </row>
    <row r="17" spans="1:10" x14ac:dyDescent="0.25">
      <c r="A17" t="s">
        <v>55</v>
      </c>
    </row>
    <row r="23" spans="1:10" x14ac:dyDescent="0.25">
      <c r="A23" t="s">
        <v>19</v>
      </c>
      <c r="B23" t="s">
        <v>12</v>
      </c>
      <c r="C23">
        <v>395853824</v>
      </c>
      <c r="D23">
        <v>395635712</v>
      </c>
      <c r="E23">
        <v>396356608</v>
      </c>
      <c r="F23">
        <v>720896</v>
      </c>
      <c r="G23">
        <v>395982848</v>
      </c>
      <c r="H23">
        <v>789177.43008105177</v>
      </c>
      <c r="I23">
        <v>394506240</v>
      </c>
      <c r="J23">
        <v>397398016</v>
      </c>
    </row>
    <row r="24" spans="1:10" x14ac:dyDescent="0.25">
      <c r="A24" t="s">
        <v>20</v>
      </c>
      <c r="B24" t="s">
        <v>12</v>
      </c>
      <c r="C24">
        <v>429350912</v>
      </c>
      <c r="D24">
        <v>429047808</v>
      </c>
      <c r="E24">
        <v>429544448</v>
      </c>
      <c r="F24">
        <v>496640</v>
      </c>
      <c r="G24">
        <v>429369753.60000002</v>
      </c>
      <c r="H24">
        <v>785265.38655967196</v>
      </c>
      <c r="I24">
        <v>428105728</v>
      </c>
      <c r="J24">
        <v>430665728</v>
      </c>
    </row>
    <row r="25" spans="1:10" x14ac:dyDescent="0.25">
      <c r="A25" t="s">
        <v>21</v>
      </c>
      <c r="B25" t="s">
        <v>12</v>
      </c>
      <c r="C25">
        <v>239527936</v>
      </c>
      <c r="D25">
        <v>239377408</v>
      </c>
      <c r="E25">
        <v>239770624</v>
      </c>
      <c r="F25">
        <v>393216</v>
      </c>
      <c r="G25">
        <v>239495987.19999999</v>
      </c>
      <c r="H25">
        <v>504431.26470308675</v>
      </c>
      <c r="I25">
        <v>238641152</v>
      </c>
      <c r="J25">
        <v>240132096</v>
      </c>
    </row>
    <row r="26" spans="1:10" x14ac:dyDescent="0.25">
      <c r="A26" t="s">
        <v>22</v>
      </c>
      <c r="B26" t="s">
        <v>12</v>
      </c>
      <c r="C26">
        <v>136966144</v>
      </c>
      <c r="D26">
        <v>136659968</v>
      </c>
      <c r="E26">
        <v>137294848</v>
      </c>
      <c r="F26">
        <v>634880</v>
      </c>
      <c r="G26">
        <v>136965324.80000001</v>
      </c>
      <c r="H26">
        <v>352899.97570000862</v>
      </c>
      <c r="I26">
        <v>136486912</v>
      </c>
      <c r="J26">
        <v>137371648</v>
      </c>
    </row>
    <row r="27" spans="1:10" x14ac:dyDescent="0.25">
      <c r="A27" t="s">
        <v>23</v>
      </c>
      <c r="B27" t="s">
        <v>12</v>
      </c>
      <c r="C27">
        <v>205932544</v>
      </c>
      <c r="D27">
        <v>205762560</v>
      </c>
      <c r="E27">
        <v>206245888</v>
      </c>
      <c r="F27">
        <v>483328</v>
      </c>
      <c r="G27">
        <v>206095564.80000001</v>
      </c>
      <c r="H27">
        <v>451531.44244419271</v>
      </c>
      <c r="I27">
        <v>205680640</v>
      </c>
      <c r="J27">
        <v>207089664</v>
      </c>
    </row>
    <row r="30" spans="1:10" x14ac:dyDescent="0.25">
      <c r="A30" t="s">
        <v>37</v>
      </c>
      <c r="B30" t="s">
        <v>12</v>
      </c>
      <c r="C30">
        <v>390027264</v>
      </c>
      <c r="D30">
        <v>389249024</v>
      </c>
      <c r="E30">
        <v>390238208</v>
      </c>
      <c r="F30">
        <v>989184</v>
      </c>
      <c r="G30">
        <v>389791744</v>
      </c>
      <c r="H30">
        <v>776004.34905539604</v>
      </c>
      <c r="I30">
        <v>388349952</v>
      </c>
      <c r="J30">
        <v>390828032</v>
      </c>
    </row>
    <row r="31" spans="1:10" x14ac:dyDescent="0.25">
      <c r="A31" t="s">
        <v>38</v>
      </c>
      <c r="B31" t="s">
        <v>12</v>
      </c>
      <c r="C31">
        <v>130199552</v>
      </c>
      <c r="D31">
        <v>130095104</v>
      </c>
      <c r="E31">
        <v>130765824</v>
      </c>
      <c r="F31">
        <v>670720</v>
      </c>
      <c r="G31">
        <v>130340454.40000001</v>
      </c>
      <c r="H31">
        <v>884068.2517145382</v>
      </c>
      <c r="I31">
        <v>128421888</v>
      </c>
      <c r="J31">
        <v>131645440</v>
      </c>
    </row>
    <row r="32" spans="1:10" x14ac:dyDescent="0.25">
      <c r="A32" t="s">
        <v>39</v>
      </c>
      <c r="B32" t="s">
        <v>12</v>
      </c>
      <c r="C32">
        <v>419741696</v>
      </c>
      <c r="D32">
        <v>419343360</v>
      </c>
      <c r="E32">
        <v>420317184</v>
      </c>
      <c r="F32">
        <v>973824</v>
      </c>
      <c r="G32">
        <v>419625369.60000002</v>
      </c>
      <c r="H32">
        <v>884913.39126985252</v>
      </c>
      <c r="I32">
        <v>417853440</v>
      </c>
      <c r="J32">
        <v>420519936</v>
      </c>
    </row>
    <row r="33" spans="1:10" x14ac:dyDescent="0.25">
      <c r="A33" t="s">
        <v>40</v>
      </c>
      <c r="B33" t="s">
        <v>12</v>
      </c>
      <c r="C33">
        <v>230164480</v>
      </c>
      <c r="D33">
        <v>230003712</v>
      </c>
      <c r="E33">
        <v>230455296</v>
      </c>
      <c r="F33">
        <v>451584</v>
      </c>
      <c r="G33">
        <v>229988761.59999999</v>
      </c>
      <c r="H33">
        <v>779214.76451263984</v>
      </c>
      <c r="I33">
        <v>228536320</v>
      </c>
      <c r="J33">
        <v>230854656</v>
      </c>
    </row>
    <row r="34" spans="1:10" x14ac:dyDescent="0.25">
      <c r="A34" t="s">
        <v>41</v>
      </c>
      <c r="B34" t="s">
        <v>12</v>
      </c>
      <c r="C34">
        <v>199804928</v>
      </c>
      <c r="D34">
        <v>199533568</v>
      </c>
      <c r="E34">
        <v>200236032</v>
      </c>
      <c r="F34">
        <v>702464</v>
      </c>
      <c r="G34">
        <v>199837696</v>
      </c>
      <c r="H34">
        <v>442192.03084431792</v>
      </c>
      <c r="I34">
        <v>199114752</v>
      </c>
      <c r="J34">
        <v>200409088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2233-BA9B-48E5-A0E8-45AE92D57A62}">
  <dimension ref="A1:K6"/>
  <sheetViews>
    <sheetView topLeftCell="D7" zoomScale="70" zoomScaleNormal="70" workbookViewId="0">
      <selection activeCell="I60" sqref="I60"/>
    </sheetView>
  </sheetViews>
  <sheetFormatPr defaultRowHeight="15" x14ac:dyDescent="0.25"/>
  <cols>
    <col min="1" max="1" width="36.28515625" bestFit="1" customWidth="1"/>
    <col min="2" max="2" width="27" bestFit="1" customWidth="1"/>
    <col min="3" max="3" width="12" customWidth="1"/>
    <col min="4" max="4" width="13.85546875" bestFit="1" customWidth="1"/>
    <col min="5" max="5" width="12" bestFit="1" customWidth="1"/>
    <col min="6" max="9" width="12" customWidth="1"/>
    <col min="10" max="10" width="14.85546875" bestFit="1" customWidth="1"/>
    <col min="11" max="12" width="12" bestFit="1" customWidth="1"/>
  </cols>
  <sheetData>
    <row r="1" spans="1:11" x14ac:dyDescent="0.25">
      <c r="A1" t="s">
        <v>18</v>
      </c>
      <c r="B1" t="s">
        <v>0</v>
      </c>
      <c r="C1" t="s">
        <v>26</v>
      </c>
      <c r="D1" t="s">
        <v>30</v>
      </c>
      <c r="E1" t="s">
        <v>27</v>
      </c>
      <c r="F1" t="s">
        <v>31</v>
      </c>
      <c r="G1" t="s">
        <v>28</v>
      </c>
      <c r="H1" t="s">
        <v>32</v>
      </c>
      <c r="I1" t="s">
        <v>33</v>
      </c>
      <c r="J1" t="s">
        <v>34</v>
      </c>
      <c r="K1" t="s">
        <v>29</v>
      </c>
    </row>
    <row r="2" spans="1:11" ht="14.25" customHeight="1" x14ac:dyDescent="0.25">
      <c r="A2" t="s">
        <v>17</v>
      </c>
      <c r="B2" t="s">
        <v>5</v>
      </c>
      <c r="C2" s="2">
        <v>71</v>
      </c>
      <c r="D2" s="1">
        <f t="shared" ref="D2:D6" si="0">C2</f>
        <v>71</v>
      </c>
      <c r="E2">
        <v>71</v>
      </c>
      <c r="F2">
        <f t="shared" ref="F2:F6" si="1">E2</f>
        <v>71</v>
      </c>
      <c r="G2">
        <v>71</v>
      </c>
      <c r="H2">
        <f t="shared" ref="H2:H6" si="2">G2</f>
        <v>71</v>
      </c>
      <c r="I2" s="1">
        <f>D2-F2</f>
        <v>0</v>
      </c>
      <c r="J2">
        <f>H2-D2</f>
        <v>0</v>
      </c>
      <c r="K2">
        <v>71</v>
      </c>
    </row>
    <row r="3" spans="1:11" x14ac:dyDescent="0.25">
      <c r="A3" t="s">
        <v>24</v>
      </c>
      <c r="B3" t="s">
        <v>5</v>
      </c>
      <c r="C3" s="2">
        <v>2420</v>
      </c>
      <c r="D3" s="1">
        <f t="shared" si="0"/>
        <v>2420</v>
      </c>
      <c r="E3">
        <v>2420</v>
      </c>
      <c r="F3">
        <f>E3</f>
        <v>2420</v>
      </c>
      <c r="G3">
        <v>2420</v>
      </c>
      <c r="H3">
        <f t="shared" si="2"/>
        <v>2420</v>
      </c>
      <c r="I3">
        <f>D3-F3</f>
        <v>0</v>
      </c>
      <c r="J3">
        <f>H3-D3</f>
        <v>0</v>
      </c>
      <c r="K3">
        <v>2420</v>
      </c>
    </row>
    <row r="4" spans="1:11" x14ac:dyDescent="0.25">
      <c r="A4" t="s">
        <v>25</v>
      </c>
      <c r="B4" t="s">
        <v>5</v>
      </c>
      <c r="C4" s="2">
        <v>655</v>
      </c>
      <c r="D4" s="1">
        <f t="shared" si="0"/>
        <v>655</v>
      </c>
      <c r="E4">
        <v>653</v>
      </c>
      <c r="F4">
        <f t="shared" si="1"/>
        <v>653</v>
      </c>
      <c r="G4">
        <v>656.25</v>
      </c>
      <c r="H4">
        <f t="shared" si="2"/>
        <v>656.25</v>
      </c>
      <c r="I4">
        <f>D4-F4</f>
        <v>2</v>
      </c>
      <c r="J4">
        <f>H4-D4</f>
        <v>1.25</v>
      </c>
      <c r="K4">
        <v>3.25</v>
      </c>
    </row>
    <row r="5" spans="1:11" x14ac:dyDescent="0.25">
      <c r="A5" t="s">
        <v>35</v>
      </c>
      <c r="B5" t="s">
        <v>5</v>
      </c>
      <c r="C5" s="2">
        <v>2491</v>
      </c>
      <c r="D5" s="1">
        <v>2491</v>
      </c>
      <c r="E5">
        <v>2491</v>
      </c>
      <c r="F5">
        <f t="shared" si="1"/>
        <v>2491</v>
      </c>
      <c r="G5">
        <v>2491</v>
      </c>
      <c r="H5">
        <f t="shared" si="2"/>
        <v>2491</v>
      </c>
      <c r="I5">
        <v>2491</v>
      </c>
      <c r="J5">
        <v>2491</v>
      </c>
      <c r="K5">
        <v>0.29658542500000001</v>
      </c>
    </row>
    <row r="6" spans="1:11" x14ac:dyDescent="0.25">
      <c r="A6" t="s">
        <v>36</v>
      </c>
      <c r="B6" t="s">
        <v>5</v>
      </c>
      <c r="C6" s="2">
        <v>726</v>
      </c>
      <c r="D6" s="1">
        <f>C6</f>
        <v>726</v>
      </c>
      <c r="E6">
        <v>724</v>
      </c>
      <c r="F6">
        <f t="shared" si="1"/>
        <v>724</v>
      </c>
      <c r="G6">
        <v>727.25</v>
      </c>
      <c r="H6">
        <f t="shared" si="2"/>
        <v>727.25</v>
      </c>
      <c r="I6">
        <f>D6-F6</f>
        <v>2</v>
      </c>
      <c r="J6" s="1">
        <f>H6-D6</f>
        <v>1.25</v>
      </c>
      <c r="K6">
        <v>3.25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79B9-ED88-422F-9DFE-12164322D3B7}">
  <dimension ref="A1:K6"/>
  <sheetViews>
    <sheetView topLeftCell="D13" zoomScale="70" zoomScaleNormal="70" workbookViewId="0">
      <selection activeCell="L61" sqref="L61"/>
    </sheetView>
  </sheetViews>
  <sheetFormatPr defaultRowHeight="15" x14ac:dyDescent="0.25"/>
  <cols>
    <col min="1" max="1" width="36.28515625" bestFit="1" customWidth="1"/>
    <col min="2" max="2" width="27" bestFit="1" customWidth="1"/>
    <col min="3" max="3" width="12" customWidth="1"/>
    <col min="4" max="4" width="13.85546875" bestFit="1" customWidth="1"/>
    <col min="5" max="5" width="12" bestFit="1" customWidth="1"/>
    <col min="6" max="9" width="12" customWidth="1"/>
    <col min="10" max="10" width="14.85546875" bestFit="1" customWidth="1"/>
    <col min="11" max="12" width="12" bestFit="1" customWidth="1"/>
  </cols>
  <sheetData>
    <row r="1" spans="1:11" x14ac:dyDescent="0.25">
      <c r="A1" t="s">
        <v>18</v>
      </c>
      <c r="B1" t="s">
        <v>0</v>
      </c>
      <c r="C1" t="s">
        <v>26</v>
      </c>
      <c r="D1" t="s">
        <v>30</v>
      </c>
      <c r="E1" t="s">
        <v>27</v>
      </c>
      <c r="F1" t="s">
        <v>31</v>
      </c>
      <c r="G1" t="s">
        <v>28</v>
      </c>
      <c r="H1" t="s">
        <v>32</v>
      </c>
      <c r="I1" t="s">
        <v>33</v>
      </c>
      <c r="J1" t="s">
        <v>34</v>
      </c>
      <c r="K1" t="s">
        <v>29</v>
      </c>
    </row>
    <row r="2" spans="1:11" ht="14.25" customHeight="1" x14ac:dyDescent="0.25">
      <c r="A2" t="s">
        <v>17</v>
      </c>
      <c r="B2" t="s">
        <v>5</v>
      </c>
      <c r="C2" s="2">
        <v>33</v>
      </c>
      <c r="D2" s="1">
        <f t="shared" ref="D2:D4" si="0">C2</f>
        <v>33</v>
      </c>
      <c r="E2">
        <v>71</v>
      </c>
      <c r="F2">
        <f t="shared" ref="F2:F6" si="1">E2</f>
        <v>71</v>
      </c>
      <c r="G2">
        <v>71</v>
      </c>
      <c r="H2">
        <f t="shared" ref="H2:H6" si="2">G2</f>
        <v>71</v>
      </c>
      <c r="I2" s="1">
        <f>D2-F2</f>
        <v>-38</v>
      </c>
      <c r="J2">
        <f>H2-D2</f>
        <v>38</v>
      </c>
      <c r="K2">
        <v>71</v>
      </c>
    </row>
    <row r="3" spans="1:11" x14ac:dyDescent="0.25">
      <c r="A3" t="s">
        <v>24</v>
      </c>
      <c r="B3" t="s">
        <v>5</v>
      </c>
      <c r="C3" s="2">
        <v>1312</v>
      </c>
      <c r="D3" s="1">
        <f t="shared" si="0"/>
        <v>1312</v>
      </c>
      <c r="E3">
        <v>2420</v>
      </c>
      <c r="F3">
        <f>E3</f>
        <v>2420</v>
      </c>
      <c r="G3">
        <v>2420</v>
      </c>
      <c r="H3">
        <f t="shared" si="2"/>
        <v>2420</v>
      </c>
      <c r="I3">
        <f>D3-F3</f>
        <v>-1108</v>
      </c>
      <c r="J3">
        <f>H3-D3</f>
        <v>1108</v>
      </c>
      <c r="K3">
        <v>2420</v>
      </c>
    </row>
    <row r="4" spans="1:11" x14ac:dyDescent="0.25">
      <c r="A4" t="s">
        <v>25</v>
      </c>
      <c r="B4" t="s">
        <v>5</v>
      </c>
      <c r="C4" s="2">
        <v>897</v>
      </c>
      <c r="D4" s="1">
        <f t="shared" si="0"/>
        <v>897</v>
      </c>
      <c r="E4">
        <v>653</v>
      </c>
      <c r="F4">
        <f t="shared" si="1"/>
        <v>653</v>
      </c>
      <c r="G4">
        <v>656.25</v>
      </c>
      <c r="H4">
        <f t="shared" si="2"/>
        <v>656.25</v>
      </c>
      <c r="I4">
        <f>D4-F4</f>
        <v>244</v>
      </c>
      <c r="J4">
        <f>H4-D4</f>
        <v>-240.75</v>
      </c>
      <c r="K4">
        <v>3.25</v>
      </c>
    </row>
    <row r="5" spans="1:11" x14ac:dyDescent="0.25">
      <c r="A5" t="s">
        <v>35</v>
      </c>
      <c r="B5" t="s">
        <v>5</v>
      </c>
      <c r="C5" s="2">
        <v>1345</v>
      </c>
      <c r="D5" s="1">
        <v>2491</v>
      </c>
      <c r="E5">
        <v>2491</v>
      </c>
      <c r="F5">
        <f t="shared" si="1"/>
        <v>2491</v>
      </c>
      <c r="G5">
        <v>2491</v>
      </c>
      <c r="H5">
        <f t="shared" si="2"/>
        <v>2491</v>
      </c>
      <c r="I5">
        <v>2491</v>
      </c>
      <c r="J5">
        <v>2491</v>
      </c>
      <c r="K5">
        <v>0.29658542500000001</v>
      </c>
    </row>
    <row r="6" spans="1:11" x14ac:dyDescent="0.25">
      <c r="A6" t="s">
        <v>36</v>
      </c>
      <c r="B6" t="s">
        <v>5</v>
      </c>
      <c r="C6" s="2">
        <v>930</v>
      </c>
      <c r="D6" s="1">
        <f>C6</f>
        <v>930</v>
      </c>
      <c r="E6">
        <v>724</v>
      </c>
      <c r="F6">
        <f t="shared" si="1"/>
        <v>724</v>
      </c>
      <c r="G6">
        <v>727.25</v>
      </c>
      <c r="H6">
        <f t="shared" si="2"/>
        <v>727.25</v>
      </c>
      <c r="I6">
        <f>D6-F6</f>
        <v>206</v>
      </c>
      <c r="J6" s="1">
        <f>H6-D6</f>
        <v>-202.75</v>
      </c>
      <c r="K6">
        <v>3.25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4DECD-8265-4629-9039-3A7CA60AF101}">
  <dimension ref="A1:K54"/>
  <sheetViews>
    <sheetView topLeftCell="H19" zoomScale="85" zoomScaleNormal="85" workbookViewId="0">
      <selection activeCell="G2" sqref="G2:G6"/>
    </sheetView>
  </sheetViews>
  <sheetFormatPr defaultRowHeight="15" x14ac:dyDescent="0.25"/>
  <cols>
    <col min="1" max="1" width="36.28515625" bestFit="1" customWidth="1"/>
    <col min="2" max="2" width="27" bestFit="1" customWidth="1"/>
    <col min="3" max="3" width="12" customWidth="1"/>
    <col min="4" max="4" width="13.85546875" bestFit="1" customWidth="1"/>
    <col min="5" max="5" width="12" bestFit="1" customWidth="1"/>
    <col min="6" max="9" width="12" customWidth="1"/>
    <col min="10" max="10" width="14.85546875" bestFit="1" customWidth="1"/>
    <col min="11" max="12" width="12" bestFit="1" customWidth="1"/>
  </cols>
  <sheetData>
    <row r="1" spans="1:11" x14ac:dyDescent="0.25">
      <c r="A1" t="s">
        <v>18</v>
      </c>
      <c r="B1" t="s">
        <v>0</v>
      </c>
      <c r="C1" t="s">
        <v>26</v>
      </c>
      <c r="D1" t="s">
        <v>30</v>
      </c>
      <c r="E1" t="s">
        <v>27</v>
      </c>
      <c r="F1" t="s">
        <v>31</v>
      </c>
      <c r="G1" t="s">
        <v>28</v>
      </c>
      <c r="H1" t="s">
        <v>32</v>
      </c>
      <c r="I1" t="s">
        <v>33</v>
      </c>
      <c r="J1" t="s">
        <v>34</v>
      </c>
      <c r="K1" t="s">
        <v>29</v>
      </c>
    </row>
    <row r="2" spans="1:11" ht="14.25" customHeight="1" x14ac:dyDescent="0.25">
      <c r="A2" t="s">
        <v>17</v>
      </c>
      <c r="B2" t="s">
        <v>5</v>
      </c>
      <c r="C2">
        <v>401</v>
      </c>
      <c r="D2" s="1">
        <f>C2</f>
        <v>401</v>
      </c>
      <c r="E2">
        <v>401</v>
      </c>
      <c r="F2">
        <f t="shared" ref="F2:F6" si="0">E2</f>
        <v>401</v>
      </c>
      <c r="G2">
        <v>401</v>
      </c>
      <c r="H2">
        <f t="shared" ref="H2:H6" si="1">G2</f>
        <v>401</v>
      </c>
      <c r="I2" s="1">
        <f>D2-F2</f>
        <v>0</v>
      </c>
      <c r="J2">
        <f>H2-D2</f>
        <v>0</v>
      </c>
      <c r="K2">
        <v>71</v>
      </c>
    </row>
    <row r="3" spans="1:11" x14ac:dyDescent="0.25">
      <c r="A3" t="s">
        <v>24</v>
      </c>
      <c r="B3" t="s">
        <v>5</v>
      </c>
      <c r="C3">
        <v>6367</v>
      </c>
      <c r="D3" s="1">
        <f>C3</f>
        <v>6367</v>
      </c>
      <c r="E3">
        <v>6367</v>
      </c>
      <c r="F3">
        <f>E3</f>
        <v>6367</v>
      </c>
      <c r="G3">
        <v>6367</v>
      </c>
      <c r="H3">
        <f t="shared" si="1"/>
        <v>6367</v>
      </c>
      <c r="I3">
        <f>D3-F3</f>
        <v>0</v>
      </c>
      <c r="J3">
        <f>H3-D3</f>
        <v>0</v>
      </c>
      <c r="K3">
        <v>2420</v>
      </c>
    </row>
    <row r="4" spans="1:11" x14ac:dyDescent="0.25">
      <c r="A4" t="s">
        <v>25</v>
      </c>
      <c r="B4" t="s">
        <v>5</v>
      </c>
      <c r="C4">
        <v>2422</v>
      </c>
      <c r="D4" s="1">
        <f>C4</f>
        <v>2422</v>
      </c>
      <c r="E4">
        <v>2419.5</v>
      </c>
      <c r="F4">
        <f t="shared" si="0"/>
        <v>2419.5</v>
      </c>
      <c r="G4">
        <v>2425</v>
      </c>
      <c r="H4">
        <f t="shared" si="1"/>
        <v>2425</v>
      </c>
      <c r="I4">
        <f>D4-F4</f>
        <v>2.5</v>
      </c>
      <c r="J4">
        <f>H4-D4</f>
        <v>3</v>
      </c>
      <c r="K4">
        <v>3.25</v>
      </c>
    </row>
    <row r="5" spans="1:11" x14ac:dyDescent="0.25">
      <c r="A5" t="s">
        <v>35</v>
      </c>
      <c r="B5" t="s">
        <v>5</v>
      </c>
      <c r="C5">
        <v>6572</v>
      </c>
      <c r="D5" s="1">
        <v>2491</v>
      </c>
      <c r="E5">
        <v>6571</v>
      </c>
      <c r="F5">
        <f t="shared" si="0"/>
        <v>6571</v>
      </c>
      <c r="G5">
        <v>6573</v>
      </c>
      <c r="H5">
        <f t="shared" si="1"/>
        <v>6573</v>
      </c>
      <c r="I5">
        <v>2491</v>
      </c>
      <c r="J5">
        <v>2491</v>
      </c>
      <c r="K5">
        <v>0.29658542500000001</v>
      </c>
    </row>
    <row r="6" spans="1:11" x14ac:dyDescent="0.25">
      <c r="A6" t="s">
        <v>36</v>
      </c>
      <c r="B6" t="s">
        <v>5</v>
      </c>
      <c r="C6">
        <v>2629</v>
      </c>
      <c r="D6" s="1">
        <f>C6</f>
        <v>2629</v>
      </c>
      <c r="E6">
        <v>2624</v>
      </c>
      <c r="F6">
        <f t="shared" si="0"/>
        <v>2624</v>
      </c>
      <c r="G6">
        <v>2630.5</v>
      </c>
      <c r="H6">
        <f t="shared" si="1"/>
        <v>2630.5</v>
      </c>
      <c r="I6">
        <f>D6-F6</f>
        <v>5</v>
      </c>
      <c r="J6" s="1">
        <f>H6-D6</f>
        <v>1.5</v>
      </c>
      <c r="K6">
        <v>3.25</v>
      </c>
    </row>
    <row r="15" spans="1:11" x14ac:dyDescent="0.25">
      <c r="A15" t="s">
        <v>22</v>
      </c>
      <c r="B15" t="s">
        <v>13</v>
      </c>
      <c r="C15">
        <v>434</v>
      </c>
      <c r="D15">
        <v>434</v>
      </c>
      <c r="E15">
        <v>434</v>
      </c>
      <c r="F15">
        <v>0</v>
      </c>
      <c r="G15">
        <v>434.4</v>
      </c>
      <c r="H15">
        <v>0.84327404271156781</v>
      </c>
      <c r="I15">
        <v>434</v>
      </c>
      <c r="J15">
        <v>436</v>
      </c>
    </row>
    <row r="16" spans="1:11" x14ac:dyDescent="0.25">
      <c r="A16" t="s">
        <v>19</v>
      </c>
      <c r="B16" t="s">
        <v>13</v>
      </c>
      <c r="C16">
        <v>7679</v>
      </c>
      <c r="D16">
        <v>7679</v>
      </c>
      <c r="E16">
        <v>7679</v>
      </c>
      <c r="F16">
        <v>0</v>
      </c>
      <c r="G16">
        <v>7679</v>
      </c>
      <c r="H16">
        <v>0</v>
      </c>
      <c r="I16">
        <v>7679</v>
      </c>
      <c r="J16">
        <v>7679</v>
      </c>
    </row>
    <row r="17" spans="1:10" x14ac:dyDescent="0.25">
      <c r="C17">
        <v>3320</v>
      </c>
      <c r="D17">
        <v>3316.5</v>
      </c>
      <c r="E17">
        <v>3323</v>
      </c>
    </row>
    <row r="18" spans="1:10" x14ac:dyDescent="0.25">
      <c r="A18" t="s">
        <v>20</v>
      </c>
      <c r="B18" t="s">
        <v>13</v>
      </c>
      <c r="C18">
        <v>7917</v>
      </c>
      <c r="D18">
        <v>7916</v>
      </c>
      <c r="E18">
        <v>7918</v>
      </c>
      <c r="F18">
        <v>2</v>
      </c>
      <c r="G18">
        <v>7917</v>
      </c>
      <c r="H18">
        <v>1.0540925533894598</v>
      </c>
      <c r="I18">
        <v>7916</v>
      </c>
      <c r="J18">
        <v>7918</v>
      </c>
    </row>
    <row r="19" spans="1:10" x14ac:dyDescent="0.25">
      <c r="C19">
        <v>3558</v>
      </c>
      <c r="D19">
        <v>3555</v>
      </c>
      <c r="E19">
        <v>3560</v>
      </c>
    </row>
    <row r="29" spans="1:10" x14ac:dyDescent="0.25">
      <c r="A29" t="s">
        <v>19</v>
      </c>
      <c r="B29" t="s">
        <v>13</v>
      </c>
      <c r="C29">
        <v>7679</v>
      </c>
      <c r="D29">
        <v>7679</v>
      </c>
      <c r="E29">
        <v>7679</v>
      </c>
      <c r="F29">
        <v>0</v>
      </c>
      <c r="G29">
        <v>7679</v>
      </c>
      <c r="H29">
        <v>0</v>
      </c>
      <c r="I29">
        <v>7679</v>
      </c>
      <c r="J29">
        <v>7679</v>
      </c>
    </row>
    <row r="30" spans="1:10" x14ac:dyDescent="0.25">
      <c r="A30" t="s">
        <v>20</v>
      </c>
      <c r="B30" t="s">
        <v>13</v>
      </c>
      <c r="C30">
        <v>7917</v>
      </c>
      <c r="D30">
        <v>7916</v>
      </c>
      <c r="E30">
        <v>7918</v>
      </c>
      <c r="F30">
        <v>2</v>
      </c>
      <c r="G30">
        <v>7917</v>
      </c>
      <c r="H30">
        <v>1.0540925533894598</v>
      </c>
      <c r="I30">
        <v>7916</v>
      </c>
      <c r="J30">
        <v>7918</v>
      </c>
    </row>
    <row r="31" spans="1:10" x14ac:dyDescent="0.25">
      <c r="A31" t="s">
        <v>21</v>
      </c>
      <c r="B31" t="s">
        <v>13</v>
      </c>
      <c r="C31">
        <v>3559</v>
      </c>
      <c r="D31">
        <v>3554</v>
      </c>
      <c r="E31">
        <v>3560.5</v>
      </c>
      <c r="F31">
        <v>6.5</v>
      </c>
      <c r="G31">
        <v>3558.4</v>
      </c>
      <c r="H31">
        <v>5.3374983736661585</v>
      </c>
      <c r="I31">
        <v>3551</v>
      </c>
      <c r="J31">
        <v>3569</v>
      </c>
    </row>
    <row r="32" spans="1:10" x14ac:dyDescent="0.25">
      <c r="A32" t="s">
        <v>22</v>
      </c>
      <c r="B32" t="s">
        <v>13</v>
      </c>
      <c r="C32">
        <v>434</v>
      </c>
      <c r="D32">
        <v>434</v>
      </c>
      <c r="E32">
        <v>434</v>
      </c>
      <c r="F32">
        <v>0</v>
      </c>
      <c r="G32">
        <v>434.4</v>
      </c>
      <c r="H32">
        <v>0.84327404271156781</v>
      </c>
      <c r="I32">
        <v>434</v>
      </c>
      <c r="J32">
        <v>436</v>
      </c>
    </row>
    <row r="33" spans="1:10" x14ac:dyDescent="0.25">
      <c r="A33" t="s">
        <v>23</v>
      </c>
      <c r="B33" t="s">
        <v>13</v>
      </c>
      <c r="C33">
        <v>3321</v>
      </c>
      <c r="D33">
        <v>3316.5</v>
      </c>
      <c r="E33">
        <v>3324</v>
      </c>
      <c r="F33">
        <v>7.5</v>
      </c>
      <c r="G33">
        <v>3320</v>
      </c>
      <c r="H33">
        <v>4.8074017006186525</v>
      </c>
      <c r="I33">
        <v>3312</v>
      </c>
      <c r="J33">
        <v>3326</v>
      </c>
    </row>
    <row r="34" spans="1:10" x14ac:dyDescent="0.25">
      <c r="C34">
        <v>3558</v>
      </c>
      <c r="D34">
        <v>3555</v>
      </c>
      <c r="E34">
        <v>3560</v>
      </c>
    </row>
    <row r="35" spans="1:10" x14ac:dyDescent="0.25">
      <c r="C35">
        <v>3320</v>
      </c>
      <c r="D35">
        <v>3316.5</v>
      </c>
      <c r="E35">
        <v>3323</v>
      </c>
    </row>
    <row r="38" spans="1:10" x14ac:dyDescent="0.25">
      <c r="A38" t="s">
        <v>40</v>
      </c>
      <c r="B38" t="s">
        <v>13</v>
      </c>
      <c r="C38">
        <v>3557</v>
      </c>
      <c r="D38">
        <v>3555</v>
      </c>
      <c r="E38">
        <v>3559</v>
      </c>
      <c r="F38">
        <v>4</v>
      </c>
      <c r="G38">
        <v>3556.8</v>
      </c>
      <c r="H38">
        <v>3.4576806613039839</v>
      </c>
      <c r="I38">
        <v>3551</v>
      </c>
      <c r="J38">
        <v>3563</v>
      </c>
    </row>
    <row r="39" spans="1:10" x14ac:dyDescent="0.25">
      <c r="A39" t="s">
        <v>41</v>
      </c>
      <c r="B39" t="s">
        <v>13</v>
      </c>
      <c r="C39">
        <v>3319</v>
      </c>
      <c r="D39">
        <v>3316.5</v>
      </c>
      <c r="E39">
        <v>3322</v>
      </c>
      <c r="F39">
        <v>5.5</v>
      </c>
      <c r="G39">
        <v>3319.4</v>
      </c>
      <c r="H39">
        <v>4.7187568984497039</v>
      </c>
      <c r="I39">
        <v>3312</v>
      </c>
      <c r="J39">
        <v>3326</v>
      </c>
    </row>
    <row r="50" spans="1:10" x14ac:dyDescent="0.25">
      <c r="A50" s="3" t="s">
        <v>22</v>
      </c>
      <c r="B50" s="3" t="s">
        <v>56</v>
      </c>
      <c r="C50">
        <v>401</v>
      </c>
      <c r="D50">
        <v>401</v>
      </c>
      <c r="E50">
        <v>401</v>
      </c>
      <c r="F50">
        <v>0</v>
      </c>
      <c r="G50">
        <v>401.4</v>
      </c>
      <c r="H50">
        <v>0.84327404271156781</v>
      </c>
      <c r="I50">
        <v>401</v>
      </c>
      <c r="J50">
        <v>403</v>
      </c>
    </row>
    <row r="51" spans="1:10" x14ac:dyDescent="0.25">
      <c r="A51" s="3" t="s">
        <v>19</v>
      </c>
      <c r="B51" s="3" t="s">
        <v>56</v>
      </c>
      <c r="C51">
        <v>6367</v>
      </c>
      <c r="D51">
        <v>6367</v>
      </c>
      <c r="E51">
        <v>6367</v>
      </c>
      <c r="F51">
        <v>0</v>
      </c>
      <c r="G51">
        <v>6367</v>
      </c>
      <c r="H51">
        <v>0</v>
      </c>
      <c r="I51">
        <v>6367</v>
      </c>
      <c r="J51">
        <v>6367</v>
      </c>
    </row>
    <row r="52" spans="1:10" x14ac:dyDescent="0.25">
      <c r="A52" s="3" t="s">
        <v>41</v>
      </c>
      <c r="B52" s="3" t="s">
        <v>56</v>
      </c>
      <c r="C52">
        <v>2422</v>
      </c>
      <c r="D52">
        <v>2419.5</v>
      </c>
      <c r="E52">
        <v>2425</v>
      </c>
      <c r="F52">
        <v>5.5</v>
      </c>
      <c r="G52">
        <v>2422.4</v>
      </c>
      <c r="H52">
        <v>4.7187568984497039</v>
      </c>
      <c r="I52">
        <v>2415</v>
      </c>
      <c r="J52">
        <v>2429</v>
      </c>
    </row>
    <row r="53" spans="1:10" x14ac:dyDescent="0.25">
      <c r="A53" s="3" t="s">
        <v>20</v>
      </c>
      <c r="B53" s="3" t="s">
        <v>56</v>
      </c>
      <c r="C53">
        <v>6572</v>
      </c>
      <c r="D53">
        <v>6571</v>
      </c>
      <c r="E53">
        <v>6573</v>
      </c>
      <c r="F53">
        <v>2</v>
      </c>
      <c r="G53">
        <v>6572</v>
      </c>
      <c r="H53">
        <v>1.0540925533894598</v>
      </c>
      <c r="I53">
        <v>6571</v>
      </c>
      <c r="J53">
        <v>6573</v>
      </c>
    </row>
    <row r="54" spans="1:10" x14ac:dyDescent="0.25">
      <c r="A54" s="3" t="s">
        <v>21</v>
      </c>
      <c r="B54" s="3" t="s">
        <v>56</v>
      </c>
      <c r="C54">
        <v>2629</v>
      </c>
      <c r="D54">
        <v>2624</v>
      </c>
      <c r="E54">
        <v>2630.5</v>
      </c>
      <c r="F54">
        <v>6.5</v>
      </c>
      <c r="G54">
        <v>2628.4</v>
      </c>
      <c r="H54">
        <v>5.3374983736661585</v>
      </c>
      <c r="I54">
        <v>2621</v>
      </c>
      <c r="J54">
        <v>2639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FB647-7F92-40D3-A414-58D2568FEAA7}">
  <dimension ref="A1:K54"/>
  <sheetViews>
    <sheetView topLeftCell="H22" zoomScale="85" zoomScaleNormal="85" workbookViewId="0">
      <selection activeCell="B64" sqref="B64"/>
    </sheetView>
  </sheetViews>
  <sheetFormatPr defaultRowHeight="15" x14ac:dyDescent="0.25"/>
  <cols>
    <col min="1" max="1" width="36.28515625" bestFit="1" customWidth="1"/>
    <col min="2" max="2" width="27" bestFit="1" customWidth="1"/>
    <col min="3" max="3" width="12" customWidth="1"/>
    <col min="4" max="4" width="13.85546875" bestFit="1" customWidth="1"/>
    <col min="5" max="5" width="12" bestFit="1" customWidth="1"/>
    <col min="6" max="9" width="12" customWidth="1"/>
    <col min="10" max="10" width="14.85546875" bestFit="1" customWidth="1"/>
    <col min="11" max="12" width="12" bestFit="1" customWidth="1"/>
  </cols>
  <sheetData>
    <row r="1" spans="1:11" x14ac:dyDescent="0.25">
      <c r="A1" t="s">
        <v>18</v>
      </c>
      <c r="B1" t="s">
        <v>0</v>
      </c>
      <c r="C1" t="s">
        <v>26</v>
      </c>
      <c r="D1" t="s">
        <v>30</v>
      </c>
      <c r="E1" t="s">
        <v>27</v>
      </c>
      <c r="F1" t="s">
        <v>31</v>
      </c>
      <c r="G1" t="s">
        <v>28</v>
      </c>
      <c r="H1" t="s">
        <v>32</v>
      </c>
      <c r="I1" t="s">
        <v>33</v>
      </c>
      <c r="J1" t="s">
        <v>34</v>
      </c>
      <c r="K1" t="s">
        <v>29</v>
      </c>
    </row>
    <row r="2" spans="1:11" ht="14.25" customHeight="1" x14ac:dyDescent="0.25">
      <c r="A2" t="s">
        <v>17</v>
      </c>
      <c r="B2" t="s">
        <v>5</v>
      </c>
      <c r="C2">
        <v>660446262</v>
      </c>
      <c r="D2" s="1">
        <f>C2/1000000</f>
        <v>660.44626200000005</v>
      </c>
      <c r="E2">
        <v>660446262</v>
      </c>
      <c r="F2">
        <f t="shared" ref="F2:F6" si="0">E2/1000000</f>
        <v>660.44626200000005</v>
      </c>
      <c r="G2">
        <v>660446262</v>
      </c>
      <c r="H2">
        <f t="shared" ref="H2:H6" si="1">G2/1000000</f>
        <v>660.44626200000005</v>
      </c>
      <c r="I2" s="1">
        <f>D2-F2</f>
        <v>0</v>
      </c>
      <c r="J2">
        <f>H2-D2</f>
        <v>0</v>
      </c>
      <c r="K2">
        <v>71</v>
      </c>
    </row>
    <row r="3" spans="1:11" x14ac:dyDescent="0.25">
      <c r="A3" t="s">
        <v>24</v>
      </c>
      <c r="B3" t="s">
        <v>5</v>
      </c>
      <c r="C3">
        <v>680944957</v>
      </c>
      <c r="D3" s="1">
        <f>C3/1000000</f>
        <v>680.94495700000004</v>
      </c>
      <c r="E3">
        <v>680944789.5</v>
      </c>
      <c r="F3">
        <f t="shared" si="0"/>
        <v>680.94478949999996</v>
      </c>
      <c r="G3">
        <v>680945043</v>
      </c>
      <c r="H3">
        <f t="shared" si="1"/>
        <v>680.94504300000006</v>
      </c>
      <c r="I3">
        <f>D3-F3</f>
        <v>1.6750000008869392E-4</v>
      </c>
      <c r="J3">
        <f>H3-D3</f>
        <v>8.6000000010244548E-5</v>
      </c>
      <c r="K3">
        <v>2420</v>
      </c>
    </row>
    <row r="4" spans="1:11" x14ac:dyDescent="0.25">
      <c r="A4" t="s">
        <v>25</v>
      </c>
      <c r="B4" t="s">
        <v>5</v>
      </c>
      <c r="C4">
        <v>286555289</v>
      </c>
      <c r="D4" s="1">
        <f>C4/1000000</f>
        <v>286.55528900000002</v>
      </c>
      <c r="E4">
        <v>286554890.5</v>
      </c>
      <c r="F4">
        <f t="shared" si="0"/>
        <v>286.5548905</v>
      </c>
      <c r="G4">
        <v>286555357.5</v>
      </c>
      <c r="H4">
        <f t="shared" si="1"/>
        <v>286.55535750000001</v>
      </c>
      <c r="I4">
        <f>D4-F4</f>
        <v>3.9850000001706576E-4</v>
      </c>
      <c r="J4">
        <f>H4-D4</f>
        <v>6.8499999997584382E-5</v>
      </c>
      <c r="K4">
        <v>3.25</v>
      </c>
    </row>
    <row r="5" spans="1:11" x14ac:dyDescent="0.25">
      <c r="A5" t="s">
        <v>35</v>
      </c>
      <c r="B5" t="s">
        <v>5</v>
      </c>
      <c r="C5">
        <v>63945000</v>
      </c>
      <c r="D5" s="1">
        <f>C5/1000000</f>
        <v>63.945</v>
      </c>
      <c r="E5">
        <v>63944965</v>
      </c>
      <c r="F5">
        <f t="shared" si="0"/>
        <v>63.944965000000003</v>
      </c>
      <c r="G5">
        <v>63945212</v>
      </c>
      <c r="H5">
        <f t="shared" si="1"/>
        <v>63.945211999999998</v>
      </c>
      <c r="I5" s="1">
        <f>D5-F5</f>
        <v>3.4999999996898623E-5</v>
      </c>
      <c r="J5">
        <v>2491</v>
      </c>
      <c r="K5">
        <v>0.29658542500000001</v>
      </c>
    </row>
    <row r="6" spans="1:11" x14ac:dyDescent="0.25">
      <c r="A6" t="s">
        <v>36</v>
      </c>
      <c r="B6" t="s">
        <v>5</v>
      </c>
      <c r="C6">
        <v>266056371</v>
      </c>
      <c r="D6" s="1">
        <f>C6/1000000</f>
        <v>266.05637100000001</v>
      </c>
      <c r="E6">
        <v>266055723</v>
      </c>
      <c r="F6">
        <f t="shared" si="0"/>
        <v>266.055723</v>
      </c>
      <c r="G6">
        <v>266057118</v>
      </c>
      <c r="H6">
        <f t="shared" si="1"/>
        <v>266.057118</v>
      </c>
      <c r="I6">
        <f>D6-F6</f>
        <v>6.4800000001241642E-4</v>
      </c>
      <c r="J6" s="1">
        <f>H6-D6</f>
        <v>7.4699999998983913E-4</v>
      </c>
      <c r="K6">
        <v>3.25</v>
      </c>
    </row>
    <row r="15" spans="1:11" x14ac:dyDescent="0.25">
      <c r="A15" t="s">
        <v>22</v>
      </c>
      <c r="B15" t="s">
        <v>13</v>
      </c>
      <c r="C15">
        <v>434</v>
      </c>
      <c r="D15">
        <v>434</v>
      </c>
      <c r="E15">
        <v>434</v>
      </c>
      <c r="F15">
        <v>0</v>
      </c>
      <c r="G15">
        <v>434.4</v>
      </c>
      <c r="H15">
        <v>0.84327404271156781</v>
      </c>
      <c r="I15">
        <v>434</v>
      </c>
      <c r="J15">
        <v>436</v>
      </c>
    </row>
    <row r="16" spans="1:11" x14ac:dyDescent="0.25">
      <c r="A16" t="s">
        <v>19</v>
      </c>
      <c r="B16" t="s">
        <v>13</v>
      </c>
      <c r="C16">
        <v>7679</v>
      </c>
      <c r="D16">
        <v>7679</v>
      </c>
      <c r="E16">
        <v>7679</v>
      </c>
      <c r="F16">
        <v>0</v>
      </c>
      <c r="G16">
        <v>7679</v>
      </c>
      <c r="H16">
        <v>0</v>
      </c>
      <c r="I16">
        <v>7679</v>
      </c>
      <c r="J16">
        <v>7679</v>
      </c>
    </row>
    <row r="17" spans="1:10" x14ac:dyDescent="0.25">
      <c r="C17">
        <v>3320</v>
      </c>
      <c r="D17">
        <v>3316.5</v>
      </c>
      <c r="E17">
        <v>3323</v>
      </c>
    </row>
    <row r="18" spans="1:10" x14ac:dyDescent="0.25">
      <c r="A18" t="s">
        <v>20</v>
      </c>
      <c r="B18" t="s">
        <v>13</v>
      </c>
      <c r="C18">
        <v>7917</v>
      </c>
      <c r="D18">
        <v>7916</v>
      </c>
      <c r="E18">
        <v>7918</v>
      </c>
      <c r="F18">
        <v>2</v>
      </c>
      <c r="G18">
        <v>7917</v>
      </c>
      <c r="H18">
        <v>1.0540925533894598</v>
      </c>
      <c r="I18">
        <v>7916</v>
      </c>
      <c r="J18">
        <v>7918</v>
      </c>
    </row>
    <row r="19" spans="1:10" x14ac:dyDescent="0.25">
      <c r="C19">
        <v>3558</v>
      </c>
      <c r="D19">
        <v>3555</v>
      </c>
      <c r="E19">
        <v>3560</v>
      </c>
    </row>
    <row r="25" spans="1:10" x14ac:dyDescent="0.25">
      <c r="A25" s="3" t="s">
        <v>19</v>
      </c>
      <c r="B25" s="3" t="s">
        <v>57</v>
      </c>
      <c r="C25">
        <v>660446262</v>
      </c>
      <c r="D25">
        <v>660446262</v>
      </c>
      <c r="E25">
        <v>660446262</v>
      </c>
      <c r="F25">
        <v>0</v>
      </c>
      <c r="G25">
        <v>660446262</v>
      </c>
      <c r="H25">
        <v>0</v>
      </c>
      <c r="I25">
        <v>660446262</v>
      </c>
      <c r="J25">
        <v>660446262</v>
      </c>
    </row>
    <row r="26" spans="1:10" x14ac:dyDescent="0.25">
      <c r="A26" s="3" t="s">
        <v>20</v>
      </c>
      <c r="B26" s="3" t="s">
        <v>57</v>
      </c>
      <c r="C26">
        <v>680944957</v>
      </c>
      <c r="D26">
        <v>680944789.5</v>
      </c>
      <c r="E26">
        <v>680945043</v>
      </c>
      <c r="F26">
        <v>253.5</v>
      </c>
      <c r="G26">
        <v>680944889.20000005</v>
      </c>
      <c r="H26">
        <v>262.04020047822183</v>
      </c>
      <c r="I26">
        <v>680944460</v>
      </c>
      <c r="J26">
        <v>680945214</v>
      </c>
    </row>
    <row r="27" spans="1:10" x14ac:dyDescent="0.25">
      <c r="A27" s="3" t="s">
        <v>21</v>
      </c>
      <c r="B27" s="3" t="s">
        <v>57</v>
      </c>
      <c r="C27">
        <v>286555289</v>
      </c>
      <c r="D27">
        <v>286554890.5</v>
      </c>
      <c r="E27">
        <v>286555357.5</v>
      </c>
      <c r="F27">
        <v>467</v>
      </c>
      <c r="G27">
        <v>286555403.19999999</v>
      </c>
      <c r="H27">
        <v>1207.6173786979605</v>
      </c>
      <c r="I27">
        <v>286553638</v>
      </c>
      <c r="J27">
        <v>286558046</v>
      </c>
    </row>
    <row r="28" spans="1:10" x14ac:dyDescent="0.25">
      <c r="A28" s="3" t="s">
        <v>22</v>
      </c>
      <c r="B28" s="3" t="s">
        <v>57</v>
      </c>
      <c r="C28">
        <v>63945000</v>
      </c>
      <c r="D28">
        <v>63944965</v>
      </c>
      <c r="E28">
        <v>63945212</v>
      </c>
      <c r="F28">
        <v>247</v>
      </c>
      <c r="G28">
        <v>63945132.399999999</v>
      </c>
      <c r="H28">
        <v>351.47789562234368</v>
      </c>
      <c r="I28">
        <v>63944694</v>
      </c>
      <c r="J28">
        <v>63945888</v>
      </c>
    </row>
    <row r="29" spans="1:10" x14ac:dyDescent="0.25">
      <c r="A29" s="3" t="s">
        <v>41</v>
      </c>
      <c r="B29" s="3" t="s">
        <v>57</v>
      </c>
      <c r="C29">
        <v>266056371</v>
      </c>
      <c r="D29">
        <v>266055723</v>
      </c>
      <c r="E29">
        <v>266057118</v>
      </c>
      <c r="F29">
        <v>1395</v>
      </c>
      <c r="G29">
        <v>266056160.80000001</v>
      </c>
      <c r="H29">
        <v>1378.5684039772725</v>
      </c>
      <c r="I29">
        <v>266053290</v>
      </c>
      <c r="J29">
        <v>266057816</v>
      </c>
    </row>
    <row r="50" spans="1:2" x14ac:dyDescent="0.25">
      <c r="A50" s="3"/>
      <c r="B50" s="3"/>
    </row>
    <row r="51" spans="1:2" x14ac:dyDescent="0.25">
      <c r="A51" s="3"/>
      <c r="B51" s="3"/>
    </row>
    <row r="52" spans="1:2" x14ac:dyDescent="0.25">
      <c r="A52" s="3"/>
      <c r="B52" s="3"/>
    </row>
    <row r="53" spans="1:2" x14ac:dyDescent="0.25">
      <c r="A53" s="3"/>
      <c r="B53" s="3"/>
    </row>
    <row r="54" spans="1:2" x14ac:dyDescent="0.25">
      <c r="A54" s="3"/>
      <c r="B54" s="3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F69FCE-49A4-49F6-A628-CABD94E001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Size Metrics</vt:lpstr>
      <vt:lpstr>Sheet8</vt:lpstr>
      <vt:lpstr>DATA SCHEME</vt:lpstr>
      <vt:lpstr>DATA Commit</vt:lpstr>
      <vt:lpstr>Data</vt:lpstr>
      <vt:lpstr>Signing Scheme</vt:lpstr>
      <vt:lpstr>Signing Commit</vt:lpstr>
      <vt:lpstr>Verifying Scheme</vt:lpstr>
      <vt:lpstr>Crypto Only Throughput Scheme</vt:lpstr>
      <vt:lpstr>Total System Throughput (S+C)</vt:lpstr>
      <vt:lpstr>CPU Usage (S+C)</vt:lpstr>
      <vt:lpstr>Block Commitment time (S+C)</vt:lpstr>
      <vt:lpstr>Memory Usage (S+C)</vt:lpstr>
      <vt:lpstr>Signature Size (MEdian for Falc</vt:lpstr>
      <vt:lpstr>Public Key Size</vt:lpstr>
      <vt:lpstr>Transcati Size (MEdian for  (2)</vt:lpstr>
      <vt:lpstr>Ledger Size (MEdian for 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Mikhaiel</dc:creator>
  <cp:lastModifiedBy>Anthony Mikhaiel</cp:lastModifiedBy>
  <dcterms:created xsi:type="dcterms:W3CDTF">2026-04-22T19:45:43Z</dcterms:created>
  <dcterms:modified xsi:type="dcterms:W3CDTF">2026-04-24T01:54:33Z</dcterms:modified>
</cp:coreProperties>
</file>